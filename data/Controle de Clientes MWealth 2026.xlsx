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2.xml" ContentType="application/vnd.ms-excel.threadedcomments+xml"/>
  <Override PartName="/xl/documenttasks/documenttask2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13_ncr:1_{2952A0EF-8264-4E05-B8C6-69D9B806988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trole Contas" sheetId="2" r:id="rId1"/>
    <sheet name="Dados" sheetId="16" state="hidden" r:id="rId2"/>
    <sheet name="BTG2" sheetId="17" state="hidden" r:id="rId3"/>
    <sheet name="Cadastro de assessores" sheetId="18" state="hidden" r:id="rId4"/>
    <sheet name="Saídas" sheetId="19" state="hidden" r:id="rId5"/>
  </sheets>
  <definedNames>
    <definedName name="_xlnm._FilterDatabase" localSheetId="0" hidden="1">'Controle Contas'!$A$1:$AP$114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Contas'!$D$1:$X$99</definedName>
    <definedName name="Z_04B94E89_4EC8_4751_9D2C_F81029B1E06C_.wvu.FilterData" localSheetId="0" hidden="1">'Controle Contas'!$A$1:$X$99</definedName>
    <definedName name="Z_0729D9A8_3FDD_4208_913C_5898A32EB14C_.wvu.FilterData" localSheetId="0" hidden="1">'Controle Contas'!$A$1:$X$99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Contas'!$A$1:$X$99</definedName>
    <definedName name="Z_0BA908DD_2BB4_48DD_992D_A06F463B3C10_.wvu.FilterData" localSheetId="0" hidden="1">'Controle Contas'!$A$1:$X$99</definedName>
    <definedName name="Z_0C093EF2_FE71_4A36_A5D0_0CC1ED345771_.wvu.FilterData" localSheetId="0" hidden="1">'Controle Contas'!$A$1:$X$99</definedName>
    <definedName name="Z_0C29AC0F_29EE_43E2_A3A9_238CF9B4E828_.wvu.FilterData" localSheetId="0" hidden="1">'Controle Contas'!$A$1:$X$99</definedName>
    <definedName name="Z_0F1F1A7D_DBBA_48E6_8155_A22F73061F6A_.wvu.FilterData" localSheetId="0" hidden="1">'Controle Contas'!$A$1:$X$99</definedName>
    <definedName name="Z_11E82F7A_A513_409C_8889_85D2D04EAA93_.wvu.FilterData" localSheetId="0" hidden="1">'Controle Contas'!$D$1:$X$99</definedName>
    <definedName name="Z_123EA29C_8E07_4455_925A_02BED419E6D8_.wvu.FilterData" localSheetId="0" hidden="1">'Controle Contas'!$A$1:$X$99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Contas'!$A$1:$X$99</definedName>
    <definedName name="Z_18202B43_11E2_4360_89B4_BC3A5A4F1DF4_.wvu.FilterData" localSheetId="0" hidden="1">'Controle Contas'!$A$1:$X$99</definedName>
    <definedName name="Z_182CC3BD_F05F_4640_93AB_3E742A49D2F4_.wvu.FilterData" localSheetId="0" hidden="1">'Controle Contas'!$A$1:$X$99</definedName>
    <definedName name="Z_190E4C1F_122C_47B6_9AB6_5AD0DE5AE794_.wvu.FilterData" localSheetId="0" hidden="1">'Controle Contas'!$A$1:$X$99</definedName>
    <definedName name="Z_1A2D0BEE_A1E7_4868_B0E7_2299906D2EC9_.wvu.FilterData" localSheetId="0" hidden="1">'Controle Contas'!$A$1:$X$99</definedName>
    <definedName name="Z_1ACE75D4_78FB_433B_A252_49AC148C336D_.wvu.FilterData" localSheetId="0" hidden="1">'Controle Contas'!$D$1:$X$99</definedName>
    <definedName name="Z_1B04E56E_E798_4C11_95F4_24698B8E55CF_.wvu.FilterData" localSheetId="0" hidden="1">'Controle Contas'!$A$1:$X$99</definedName>
    <definedName name="Z_1B124F6D_7E9E_4A11_BA68_19BF451F357B_.wvu.FilterData" localSheetId="0" hidden="1">'Controle Contas'!$A$1:$X$99</definedName>
    <definedName name="Z_1B54CF81_2EE6_41A0_8DAF_9EC2BA627E83_.wvu.FilterData" localSheetId="0" hidden="1">'Controle Contas'!$A$1:$X$99</definedName>
    <definedName name="Z_1CA5E0BF_68F0_49B9_BAC3_D5150E9684AC_.wvu.FilterData" localSheetId="0" hidden="1">'Controle Contas'!$A$1:$X$99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Contas'!$A$1:$X$99</definedName>
    <definedName name="Z_1E3418C5_BE5C_4169_B722_868C56F47867_.wvu.FilterData" localSheetId="0" hidden="1">'Controle Contas'!$A$1:$X$99</definedName>
    <definedName name="Z_1FE7E5D8_7F24_4EC5_B50B_B798FF734343_.wvu.FilterData" localSheetId="0" hidden="1">'Controle Contas'!$D$1:$X$99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Contas'!$D$1:$X$99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Contas'!$D$1:$X$99</definedName>
    <definedName name="Z_308A98F0_B886_4603_9AAA_7507D9F3FDF3_.wvu.FilterData" localSheetId="0" hidden="1">'Controle Contas'!$A$1:$X$99</definedName>
    <definedName name="Z_30DCFFE6_AC46_4E31_A4DE_A50A8DB8D6EE_.wvu.FilterData" localSheetId="0" hidden="1">'Controle Contas'!$D$1:$X$99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Contas'!$A$1:$X$99</definedName>
    <definedName name="Z_351F5E9C_A977_48CE_983D_BE49DC49D48F_.wvu.FilterData" localSheetId="0" hidden="1">'Controle Contas'!$A$1:$X$99</definedName>
    <definedName name="Z_3B3B7747_6ACF_4D69_A9DA_2034D46A0C17_.wvu.FilterData" localSheetId="0" hidden="1">'Controle Contas'!$I$1:$X$99</definedName>
    <definedName name="Z_3D664E02_DE09_446D_8677_45A9E129B71A_.wvu.FilterData" localSheetId="0" hidden="1">'Controle Contas'!$A$1:$X$99</definedName>
    <definedName name="Z_3D6B9F54_BE99_4813_98C8_B7E13E17DB44_.wvu.FilterData" localSheetId="0" hidden="1">'Controle Contas'!$A$1:$X$99</definedName>
    <definedName name="Z_3D93ED61_EE7D_4D34_AA35_E3A99D2818CC_.wvu.FilterData" localSheetId="0" hidden="1">'Controle Contas'!$A$1:$X$99</definedName>
    <definedName name="Z_3E739D3D_4612_4A7D_B065_193217A121C9_.wvu.FilterData" localSheetId="0" hidden="1">'Controle Contas'!$A$1:$X$99</definedName>
    <definedName name="Z_423FEFF5_1271_4E5E_909E_F26C45E4687E_.wvu.FilterData" localSheetId="0" hidden="1">'Controle Contas'!$A$1:$X$99</definedName>
    <definedName name="Z_42D21524_78A6_48BE_B817_2DEE65E174F2_.wvu.FilterData" localSheetId="0" hidden="1">'Controle Contas'!$A$1:$X$99</definedName>
    <definedName name="Z_45E1B251_B47C_4880_A24C_DFF311DFB6BE_.wvu.FilterData" localSheetId="0" hidden="1">'Controle Contas'!$D$1:$X$99</definedName>
    <definedName name="Z_467CCEEF_C32B_435C_B4B4_C5C520204D0A_.wvu.FilterData" localSheetId="0" hidden="1">'Controle Contas'!$D$1:$X$99</definedName>
    <definedName name="Z_47BB50BF_5891_4898_9F00_C079F37784D8_.wvu.FilterData" localSheetId="0" hidden="1">'Controle Contas'!$A$1:$X$99</definedName>
    <definedName name="Z_48357F01_1856_4FCF_9F08_FCDE56A2D44A_.wvu.FilterData" localSheetId="0" hidden="1">'Controle Contas'!$J$1:$X$99</definedName>
    <definedName name="Z_48BEEF85_2E21_4F6B_AD21_18C6672F750C_.wvu.FilterData" localSheetId="0" hidden="1">'Controle Contas'!$A$1:$X$99</definedName>
    <definedName name="Z_4940310E_44EC_4404_8E7A_3DB94229D3CC_.wvu.FilterData" localSheetId="0" hidden="1">'Controle Contas'!$A$1:$X$99</definedName>
    <definedName name="Z_498C8090_E789_4002_9AB4_7DA559970D1F_.wvu.FilterData" localSheetId="0" hidden="1">'Controle Contas'!$A$1:$X$99</definedName>
    <definedName name="Z_4B144270_D511_4B35_9F3A_15D532C23A28_.wvu.FilterData" localSheetId="0" hidden="1">'Controle Contas'!$A$1:$X$99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Contas'!$D$1:$X$99</definedName>
    <definedName name="Z_4E4B428C_7B14_45A5_8B2C_221969AE8FFF_.wvu.FilterData" localSheetId="0" hidden="1">'Controle Contas'!$A$1:$X$99</definedName>
    <definedName name="Z_4F2CCAF3_97EF_4C30_8A9B_B6C17B3875D4_.wvu.FilterData" localSheetId="0" hidden="1">'Controle Contas'!$A$1:$X$99</definedName>
    <definedName name="Z_55B42B10_8863_42F1_AE98_5DFC66B0599C_.wvu.FilterData" localSheetId="0" hidden="1">'Controle Contas'!$D$1:$X$99</definedName>
    <definedName name="Z_56AFD506_F86B_4274_811D_793BB20DD9D3_.wvu.FilterData" localSheetId="0" hidden="1">'Controle Contas'!$D$1:$X$99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Contas'!$A$1:$X$99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Contas'!$A$1:$X$99</definedName>
    <definedName name="Z_627C91B2_712F_4DFB_B495_28BCEA46E4E2_.wvu.FilterData" localSheetId="0" hidden="1">'Controle Contas'!$A$1:$X$99</definedName>
    <definedName name="Z_6739707D_6665_4B91_A403_33028D89D80B_.wvu.FilterData" localSheetId="0" hidden="1">'Controle Contas'!$T$1:$T$99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Contas'!$D$1:$X$99</definedName>
    <definedName name="Z_6A9A4AFA_3A97_4345_9DC1_B2430F067760_.wvu.FilterData" localSheetId="0" hidden="1">'Controle Contas'!$A$1:$X$99</definedName>
    <definedName name="Z_6B15E0BD_4CEC_4AAD_8552_8A546D6B94C2_.wvu.FilterData" localSheetId="0" hidden="1">'Controle Contas'!$A$1:$X$99</definedName>
    <definedName name="Z_6C0BBECD_A50F_4906_B232_F202421F246E_.wvu.FilterData" localSheetId="0" hidden="1">'Controle Contas'!$A$1:$X$99</definedName>
    <definedName name="Z_6C4E81CA_32B3_4BD4_9A1C_F20FF8B924A7_.wvu.FilterData" localSheetId="0" hidden="1">'Controle Contas'!$D$1:$X$99</definedName>
    <definedName name="Z_70FA6B02_2DAC_44FB_9C02_C4F5C0E36D73_.wvu.FilterData" localSheetId="0" hidden="1">'Controle Contas'!$A$1:$X$99</definedName>
    <definedName name="Z_71E42FA8_6CEB_4654_A089_2A9DF79B5124_.wvu.FilterData" localSheetId="0" hidden="1">'Controle Contas'!$D$1:$X$99</definedName>
    <definedName name="Z_73A11926_2E6F_4871_B727_3B1A920B8A61_.wvu.FilterData" localSheetId="0" hidden="1">'Controle Contas'!$A$1:$X$99</definedName>
    <definedName name="Z_76D4584F_C314_4A4E_9FC8_D8CBFFFD2BFD_.wvu.FilterData" localSheetId="0" hidden="1">'Controle Contas'!$D$1:$X$99</definedName>
    <definedName name="Z_795295AF_CFCB_4FCC_B804_2D2424BE9A49_.wvu.FilterData" localSheetId="0" hidden="1">'Controle Contas'!$A$1:$X$99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Contas'!$A$1:$X$99</definedName>
    <definedName name="Z_7DA9518A_EE5A_427A_8374_9078BCA694F8_.wvu.FilterData" localSheetId="0" hidden="1">'Controle Contas'!$A$1:$X$99</definedName>
    <definedName name="Z_7EAC6D07_C079_4E1F_8351_32A4134DCF17_.wvu.FilterData" localSheetId="0" hidden="1">'Controle Contas'!$A$1:$X$99</definedName>
    <definedName name="Z_7F00D025_E5E3_42AA_BA25_4210D64EDAFB_.wvu.FilterData" localSheetId="0" hidden="1">'Controle Contas'!$D$1:$X$99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Contas'!$D$1:$X$99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Contas'!$D$1:$X$99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Contas'!$A$1:$X$99</definedName>
    <definedName name="Z_88E135A6_EC14_4A9F_8810_3E1BF8B05913_.wvu.FilterData" localSheetId="0" hidden="1">'Controle Contas'!$A$1:$X$99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Contas'!$A$1:$X$99</definedName>
    <definedName name="Z_8CCE7264_53B5_42E0_91A2_AC90A97DDBB0_.wvu.FilterData" localSheetId="0" hidden="1">'Controle Contas'!$A$1:$X$99</definedName>
    <definedName name="Z_8D24973A_3DD4_4A65_81AA_4A3A5E1B8097_.wvu.FilterData" localSheetId="0" hidden="1">'Controle Contas'!$A$1:$X$99</definedName>
    <definedName name="Z_8D824072_7468_4CA8_93C5_C695445D9E65_.wvu.FilterData" localSheetId="0" hidden="1">'Controle Contas'!$A$1:$X$99</definedName>
    <definedName name="Z_8EA094D4_B192_4EF2_B9D1_8FBC187F625E_.wvu.FilterData" localSheetId="0" hidden="1">'Controle Contas'!$D$1:$X$99</definedName>
    <definedName name="Z_92D059E1_DD44_46EF_9817_CE8E9ED08641_.wvu.FilterData" localSheetId="0" hidden="1">'Controle Contas'!$A$1:$X$99</definedName>
    <definedName name="Z_9383F315_992B_4F81_9F15_ACA3399A25A8_.wvu.FilterData" localSheetId="0" hidden="1">'Controle Contas'!$A$1:$X$99</definedName>
    <definedName name="Z_93AB8B81_5F98_4284_B06A_D7CE72815A11_.wvu.FilterData" localSheetId="0" hidden="1">'Controle Contas'!$D$1:$X$99</definedName>
    <definedName name="Z_93FFEBAE_581D_40DB_8965_BE5241E39C63_.wvu.FilterData" localSheetId="0" hidden="1">'Controle Contas'!$D$1:$T$99</definedName>
    <definedName name="Z_94B1EE88_AAE4_419C_A337_E394A2D47789_.wvu.FilterData" localSheetId="0" hidden="1">'Controle Contas'!$A$1:$X$99</definedName>
    <definedName name="Z_9DB54CEC_7DF6_4819_98A7_5213652DB41E_.wvu.FilterData" localSheetId="0" hidden="1">'Controle Contas'!$A$1:$X$99</definedName>
    <definedName name="Z_9F819FDD_0727_4581_B42E_FBB6FF5FA047_.wvu.FilterData" localSheetId="0" hidden="1">'Controle Contas'!$A$1:$X$99</definedName>
    <definedName name="Z_A0B546EB_9509_40DA_A60B_298EBFE4E59D_.wvu.FilterData" localSheetId="0" hidden="1">'Controle Contas'!$A$1:$X$99</definedName>
    <definedName name="Z_A2DA313D_541E_4594_B799_3E48419A20BA_.wvu.FilterData" localSheetId="0" hidden="1">'Controle Contas'!$A$1:$X$99</definedName>
    <definedName name="Z_A38DF138_839A_4A1C_BC46_D2DEF970C3D5_.wvu.FilterData" localSheetId="0" hidden="1">'Controle Contas'!$A$1:$X$99</definedName>
    <definedName name="Z_A45E3B99_1ACB_4EBC_B2F2_64674F11650A_.wvu.FilterData" localSheetId="0" hidden="1">'Controle Contas'!$A$1:$X$99</definedName>
    <definedName name="Z_A50D27BC_8C13_4194_A754_7376F2F3B5DA_.wvu.FilterData" localSheetId="0" hidden="1">'Controle Contas'!$A$1:$X$99</definedName>
    <definedName name="Z_A5104C11_AB4D_42DF_BDB1_C9ECB067E779_.wvu.FilterData" localSheetId="0" hidden="1">'Controle Contas'!$A$1:$X$99</definedName>
    <definedName name="Z_A94C9867_6E9C_4996_98EE_31E34F1A6290_.wvu.FilterData" localSheetId="0" hidden="1">'Controle Contas'!$A$1:$X$99</definedName>
    <definedName name="Z_A99246DD_EFB6_438F_9F56_C45BAF1CE7A6_.wvu.FilterData" localSheetId="0" hidden="1">'Controle Contas'!$A$1:$X$99</definedName>
    <definedName name="Z_AC2A9D44_625D_4777_81CF_B348B418D6A2_.wvu.FilterData" localSheetId="0" hidden="1">'Controle Contas'!$I$1:$X$99</definedName>
    <definedName name="Z_ACC6E3C0_B31C_4914_B8EB_5C970F7276E1_.wvu.FilterData" localSheetId="0" hidden="1">'Controle Contas'!$D$1:$X$99</definedName>
    <definedName name="Z_AD1169A2_F31B_474D_9D8B_B51D22A5564E_.wvu.FilterData" localSheetId="0" hidden="1">'Controle Contas'!$A$1:$X$99</definedName>
    <definedName name="Z_AD7B492E_5EDA_4AB3_B46E_D679F16BA1C5_.wvu.FilterData" localSheetId="0" hidden="1">'Controle Contas'!$A$1:$X$99</definedName>
    <definedName name="Z_AEA42E9C_6B35_4C80_9D55_A52D57DB8C78_.wvu.FilterData" localSheetId="0" hidden="1">'Controle Contas'!$A$1:$X$99</definedName>
    <definedName name="Z_AFAE9C81_BEC7_4E49_B430_378A11A40202_.wvu.FilterData" localSheetId="0" hidden="1">'Controle Contas'!$A$1:$X$99</definedName>
    <definedName name="Z_B0B99A06_0585_42AE_A3FC_8AB03D179DE1_.wvu.FilterData" localSheetId="0" hidden="1">'Controle Contas'!$A$1:$X$99</definedName>
    <definedName name="Z_B1825302_A70B_43EF_8B49_193DD91BCFC3_.wvu.FilterData" localSheetId="0" hidden="1">'Controle Contas'!$A$1:$X$99</definedName>
    <definedName name="Z_B3245F46_37F0_4BF4_A32E_422B28702198_.wvu.FilterData" localSheetId="0" hidden="1">'Controle Contas'!$A$1:$X$99</definedName>
    <definedName name="Z_B36BCCD7_3E96_42EF_956F_39C1E1AA82D7_.wvu.FilterData" localSheetId="0" hidden="1">'Controle Contas'!$D$1:$X$99</definedName>
    <definedName name="Z_B41BF864_EE22_4CF9_8F54_DF9C2B01559F_.wvu.FilterData" localSheetId="0" hidden="1">'Controle Contas'!$D$1:$X$99</definedName>
    <definedName name="Z_B556C7A5_AB95_4E4B_B2D0_18365AF04A31_.wvu.FilterData" localSheetId="0" hidden="1">'Controle Contas'!$A$1:$X$99</definedName>
    <definedName name="Z_B687DF64_BC4A_4A5E_86C9_AD317BE257F3_.wvu.FilterData" localSheetId="0" hidden="1">'Controle Contas'!$A$1:$X$99</definedName>
    <definedName name="Z_B7CC4EE4_A846_4603_8481_AD2D4CB802B6_.wvu.FilterData" localSheetId="0" hidden="1">'Controle Contas'!$A$1:$X$99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Contas'!$D$1:$X$99</definedName>
    <definedName name="Z_B7EEEDA4_B1BD_42FA_A7D9_296D455A843A_.wvu.FilterData" localSheetId="4" hidden="1">Saídas!$A$2:$K$798</definedName>
    <definedName name="Z_B9BC7587_C8FA_44AE_AF72_4EC169138123_.wvu.FilterData" localSheetId="0" hidden="1">'Controle Contas'!$A$1:$X$99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Contas'!$D$1:$X$99</definedName>
    <definedName name="Z_BE8CD934_CC4E_44AD_87CB_FAA2F27B5EDE_.wvu.FilterData" localSheetId="0" hidden="1">'Controle Contas'!$A$1:$X$99</definedName>
    <definedName name="Z_BE98C523_16C4_4799_B5C7_2FECDEAA3594_.wvu.FilterData" localSheetId="0" hidden="1">'Controle Contas'!$A$1:$X$99</definedName>
    <definedName name="Z_BF6FEDB4_E2FA_48B7_9DA6_BC7F490B0477_.wvu.FilterData" localSheetId="0" hidden="1">'Controle Contas'!$A$1:$X$99</definedName>
    <definedName name="Z_C0BB8DA4_833E_4321_AB5F_AC42635F4B03_.wvu.FilterData" localSheetId="0" hidden="1">'Controle Contas'!$A$1:$X$99</definedName>
    <definedName name="Z_C1014A19_3732_468D_8008_9FAAA22884BA_.wvu.FilterData" localSheetId="0" hidden="1">'Controle Contas'!$A$1:$X$99</definedName>
    <definedName name="Z_C1687B13_2B25_4F88_B9FC_5F98F0C59F78_.wvu.FilterData" localSheetId="0" hidden="1">'Controle Contas'!$A$1:$X$99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Contas'!$A$1:$X$99</definedName>
    <definedName name="Z_C437C293_DD5A_46C1_9E17_A1E6569A844F_.wvu.FilterData" localSheetId="0" hidden="1">'Controle Contas'!$A$1:$X$99</definedName>
    <definedName name="Z_C9E04318_49D5_413C_AE45_5FA13028FBA7_.wvu.FilterData" localSheetId="0" hidden="1">'Controle Contas'!$A$1:$X$99</definedName>
    <definedName name="Z_CA819861_0AE0_4948_82AE_AB183D929D75_.wvu.FilterData" localSheetId="0" hidden="1">'Controle Contas'!$D$1:$X$99</definedName>
    <definedName name="Z_CDB621C8_741E_4D49_A1A1_806831C1C801_.wvu.FilterData" localSheetId="0" hidden="1">'Controle Contas'!$A$1:$X$99</definedName>
    <definedName name="Z_D072EB94_FC7A_42D0_92E6_38EC69ADB85A_.wvu.FilterData" localSheetId="0" hidden="1">'Controle Contas'!$M$1:$P$99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Contas'!$D$1:$X$99</definedName>
    <definedName name="Z_D6C27E9A_598C_47F2_8F3D_83A50A107790_.wvu.FilterData" localSheetId="0" hidden="1">'Controle Contas'!$A$1:$X$99</definedName>
    <definedName name="Z_D79DC086_EEDD_4790_8146_D52BA9A7F131_.wvu.FilterData" localSheetId="0" hidden="1">'Controle Contas'!$A$1:$X$99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Contas'!$A$1:$X$99</definedName>
    <definedName name="Z_D88A4E9B_48B4_4051_9559_DAF3073B092E_.wvu.FilterData" localSheetId="0" hidden="1">'Controle Contas'!$A$1:$X$99</definedName>
    <definedName name="Z_DB05EF65_D7B5_4DD6_8F09_01BC4E20BF15_.wvu.FilterData" localSheetId="0" hidden="1">'Controle Contas'!$A$1:$X$99</definedName>
    <definedName name="Z_DC29F690_9655_45BB_92AA_E95A9B3310FB_.wvu.FilterData" localSheetId="0" hidden="1">'Controle Contas'!$A$1:$X$99</definedName>
    <definedName name="Z_DD94A016_46C8_4460_B1C1_C762909060C1_.wvu.FilterData" localSheetId="0" hidden="1">'Controle Contas'!$A$1:$X$99</definedName>
    <definedName name="Z_DFF4B50E_01D0_4A0A_B926_259FB09F099F_.wvu.FilterData" localSheetId="0" hidden="1">'Controle Contas'!$A$1:$X$99</definedName>
    <definedName name="Z_E22319CF_3753_47A5_B289_E2A97398BB8E_.wvu.FilterData" localSheetId="0" hidden="1">'Controle Contas'!$D$1:$X$99</definedName>
    <definedName name="Z_E7A70FCC_EA4E_40D5_9DDC_E30CAAA6A5E9_.wvu.FilterData" localSheetId="0" hidden="1">'Controle Contas'!$D$1:$X$99</definedName>
    <definedName name="Z_E9B33F64_57CC_4836_8989_C37AFAD0A1A1_.wvu.FilterData" localSheetId="0" hidden="1">'Controle Contas'!$D$1:$X$99</definedName>
    <definedName name="Z_EA321758_483F_4473_88B9_B2CF626E6766_.wvu.FilterData" localSheetId="0" hidden="1">'Controle Contas'!$A$1:$X$99</definedName>
    <definedName name="Z_EC630380_4E32_463C_A081_3FD6E39B14D4_.wvu.FilterData" localSheetId="0" hidden="1">'Controle Contas'!$A$1:$X$99</definedName>
    <definedName name="Z_EF930F08_600E_41B2_A950_EDFA862A4DF5_.wvu.FilterData" localSheetId="0" hidden="1">'Controle Contas'!$A$1:$X$99</definedName>
    <definedName name="Z_F06A8CEB_8F34_47AC_96B0_B61FE8609ACF_.wvu.FilterData" localSheetId="0" hidden="1">'Controle Contas'!$A$1:$X$99</definedName>
    <definedName name="Z_F0BB1313_8DAB_4593_8379_B4E1E3B74303_.wvu.FilterData" localSheetId="0" hidden="1">'Controle Contas'!$A$1:$X$99</definedName>
    <definedName name="Z_F0BD57BC_C164_490A_B83D_B897FA0D5D2A_.wvu.FilterData" localSheetId="0" hidden="1">'Controle Contas'!$K$1:$P$99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Contas'!$A$1:$X$99</definedName>
    <definedName name="Z_F2B8A4F9_E4F8_4ED0_A21F_30A975482C04_.wvu.FilterData" localSheetId="0" hidden="1">'Controle Contas'!$A$1:$X$99</definedName>
    <definedName name="Z_F430D34E_B491_4E9C_849E_EEB9B339935A_.wvu.FilterData" localSheetId="0" hidden="1">'Controle Contas'!$A$1:$X$99</definedName>
    <definedName name="Z_F5C3EDBE_D036_4F19_BBFF_08129EB89FC5_.wvu.FilterData" localSheetId="0" hidden="1">'Controle Contas'!$A$1:$X$99</definedName>
    <definedName name="Z_F5E5ED4E_DF60_4BBD_B24F_5EA09E18D40C_.wvu.FilterData" localSheetId="0" hidden="1">'Controle Contas'!$D$1:$X$99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Contas'!$A$1:$X$99</definedName>
    <definedName name="Z_FEA88256_CB03_4841_9B37_F0F16919974C_.wvu.FilterData" localSheetId="0" hidden="1">'Controle Contas'!$A$1:$X$99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Contas'!$A$1:$X$99</definedName>
  </definedNames>
  <calcPr calcId="191029"/>
  <customWorkbookViews>
    <customWorkbookView name="Filtro 171" guid="{AEA42E9C-6B35-4C80-9D55-A52D57DB8C78}" maximized="1" windowWidth="0" windowHeight="0" activeSheetId="0"/>
    <customWorkbookView name="Filtro 170" guid="{BF6FEDB4-E2FA-48B7-9DA6-BC7F490B0477}" maximized="1" windowWidth="0" windowHeight="0" activeSheetId="0"/>
    <customWorkbookView name="Filtro 175" guid="{165CC5BD-C6DE-42CC-8EC5-314C1EF5C23C}" maximized="1" windowWidth="0" windowHeight="0" activeSheetId="0"/>
    <customWorkbookView name="Filtro 174" guid="{7B1ED787-A94E-4CE6-A02D-6B7249291FB8}" maximized="1" windowWidth="0" windowHeight="0" activeSheetId="0"/>
    <customWorkbookView name="Filtro 173" guid="{123EA29C-8E07-4455-925A-02BED419E6D8}" maximized="1" windowWidth="0" windowHeight="0" activeSheetId="0"/>
    <customWorkbookView name="Filtro 172" guid="{9DB54CEC-7DF6-4819-98A7-5213652DB41E}" maximized="1" windowWidth="0" windowHeight="0" activeSheetId="0"/>
    <customWorkbookView name="Filtro 178" guid="{190E4C1F-122C-47B6-9AB6-5AD0DE5AE794}" maximized="1" windowWidth="0" windowHeight="0" activeSheetId="0"/>
    <customWorkbookView name="Filtro 177" guid="{7A31FC72-E7F8-41D5-8003-370F116E4600}" maximized="1" windowWidth="0" windowHeight="0" activeSheetId="0"/>
    <customWorkbookView name="Filtro 176" guid="{F430D34E-B491-4E9C-849E-EEB9B339935A}" maximized="1" windowWidth="0" windowHeight="0" activeSheetId="0"/>
    <customWorkbookView name="Filtro 41" guid="{BA18543D-75F5-4396-A6BE-06A25F435576}" maximized="1" windowWidth="0" windowHeight="0" activeSheetId="0"/>
    <customWorkbookView name="Filtro 40" guid="{467CCEEF-C32B-435C-B4B4-C5C520204D0A}" maximized="1" windowWidth="0" windowHeight="0" activeSheetId="0"/>
    <customWorkbookView name="Filtro 43" guid="{FEAC60D3-C159-415D-937A-4EAACDD63294}" maximized="1" windowWidth="0" windowHeight="0" activeSheetId="0"/>
    <customWorkbookView name="Filtro 42" guid="{D0D5036C-A5B8-48C9-99F2-3378B99CD86A}" maximized="1" windowWidth="0" windowHeight="0" activeSheetId="0"/>
    <customWorkbookView name="Filtro 45" guid="{7F512548-DCD4-41A0-81C1-C8D0EAF11021}" maximized="1" windowWidth="0" windowHeight="0" activeSheetId="0"/>
    <customWorkbookView name="Filtro 44" guid="{61A21088-D231-4D60-92A9-DD2E208C52FC}" maximized="1" windowWidth="0" windowHeight="0" activeSheetId="0"/>
    <customWorkbookView name="Filtro 47" guid="{008E127E-C544-4EFA-BE3B-1D75A2D8A540}" maximized="1" windowWidth="0" windowHeight="0" activeSheetId="0"/>
    <customWorkbookView name="Filtro 46" guid="{31229629-4FD1-448B-A266-475AA52A7FB8}" maximized="1" windowWidth="0" windowHeight="0" activeSheetId="0"/>
    <customWorkbookView name="Filtro 49" guid="{20EDE9E2-012B-4D94-BBFB-E727994B300D}" maximized="1" windowWidth="0" windowHeight="0" activeSheetId="0"/>
    <customWorkbookView name="Filtro 48" guid="{30DCFFE6-AC46-4E31-A4DE-A50A8DB8D6EE}" maximized="1" windowWidth="0" windowHeight="0" activeSheetId="0"/>
    <customWorkbookView name="Filtro 3" guid="{81931677-6684-49E1-A5A6-0E1E7ADF1EED}" maximized="1" windowWidth="0" windowHeight="0" activeSheetId="0"/>
    <customWorkbookView name="Filtro 2" guid="{14F2BC0A-D0DC-4C31-B463-CFE61D5BFA16}" maximized="1" windowWidth="0" windowHeight="0" activeSheetId="0"/>
    <customWorkbookView name="Filtro 1" guid="{B7EEEDA4-B1BD-42FA-A7D9-296D455A843A}" maximized="1" windowWidth="0" windowHeight="0" activeSheetId="0"/>
    <customWorkbookView name="Filtro 7" guid="{76D4584F-C314-4A4E-9FC8-D8CBFFFD2BFD}" maximized="1" windowWidth="0" windowHeight="0" activeSheetId="0"/>
    <customWorkbookView name="Filtro 6" guid="{A94C9867-6E9C-4996-98EE-31E34F1A6290}" maximized="1" windowWidth="0" windowHeight="0" activeSheetId="0"/>
    <customWorkbookView name="Filtro 5" guid="{C9E04318-49D5-413C-AE45-5FA13028FBA7}" maximized="1" windowWidth="0" windowHeight="0" activeSheetId="0"/>
    <customWorkbookView name="Filtro 4" guid="{B36BCCD7-3E96-42EF-956F-39C1E1AA82D7}" maximized="1" windowWidth="0" windowHeight="0" activeSheetId="0"/>
    <customWorkbookView name="Filtro 102" guid="{4940310E-44EC-4404-8E7A-3DB94229D3CC}" maximized="1" windowWidth="0" windowHeight="0" activeSheetId="0"/>
    <customWorkbookView name="Filtro 101" guid="{70FA6B02-2DAC-44FB-9C02-C4F5C0E36D73}" maximized="1" windowWidth="0" windowHeight="0" activeSheetId="0"/>
    <customWorkbookView name="Filtro 100" guid="{A50D27BC-8C13-4194-A754-7376F2F3B5DA}" maximized="1" windowWidth="0" windowHeight="0" activeSheetId="0"/>
    <customWorkbookView name="Filtro 106" guid="{7EAC6D07-C079-4E1F-8351-32A4134DCF17}" maximized="1" windowWidth="0" windowHeight="0" activeSheetId="0"/>
    <customWorkbookView name="Filtro 105" guid="{0F1F1A7D-DBBA-48E6-8155-A22F73061F6A}" maximized="1" windowWidth="0" windowHeight="0" activeSheetId="0"/>
    <customWorkbookView name="Filtro 104" guid="{18202B43-11E2-4360-89B4-BC3A5A4F1DF4}" maximized="1" windowWidth="0" windowHeight="0" activeSheetId="0"/>
    <customWorkbookView name="Filtro 103" guid="{3D93ED61-EE7D-4D34-AA35-E3A99D2818CC}" maximized="1" windowWidth="0" windowHeight="0" activeSheetId="0"/>
    <customWorkbookView name="Filtro 30" guid="{C211F3C5-E62E-499E-8F63-245DA1931F27}" maximized="1" windowWidth="0" windowHeight="0" activeSheetId="0"/>
    <customWorkbookView name="Filtro 32" guid="{FB88F0D5-C0C4-49EA-AA98-7E894FD09BBF}" maximized="1" windowWidth="0" windowHeight="0" activeSheetId="0"/>
    <customWorkbookView name="Filtro 31" guid="{48357F01-1856-4FCF-9F08-FCDE56A2D44A}" maximized="1" windowWidth="0" windowHeight="0" activeSheetId="0"/>
    <customWorkbookView name="Filtro 34" guid="{11E82F7A-A513-409C-8889-85D2D04EAA93}" maximized="1" windowWidth="0" windowHeight="0" activeSheetId="0"/>
    <customWorkbookView name="Filtro 33" guid="{3B3B7747-6ACF-4D69-A9DA-2034D46A0C17}" maximized="1" windowWidth="0" windowHeight="0" activeSheetId="0"/>
    <customWorkbookView name="Filtro 36" guid="{2A7C5A02-283B-4AF0-9172-FB25C169B4CC}" maximized="1" windowWidth="0" windowHeight="0" activeSheetId="0"/>
    <customWorkbookView name="Filtro 35" guid="{C1687B13-2B25-4F88-B9FC-5F98F0C59F78}" maximized="1" windowWidth="0" windowHeight="0" activeSheetId="0"/>
    <customWorkbookView name="Filtro 38" guid="{F5E5ED4E-DF60-4BBD-B24F-5EA09E18D40C}" maximized="1" windowWidth="0" windowHeight="0" activeSheetId="0"/>
    <customWorkbookView name="Filtro 37" guid="{4CBC865C-9949-4E80-A3AA-F2F06539A76B}" maximized="1" windowWidth="0" windowHeight="0" activeSheetId="0"/>
    <customWorkbookView name="Filtro 39" guid="{ACC6E3C0-B31C-4914-B8EB-5C970F7276E1}" maximized="1" windowWidth="0" windowHeight="0" activeSheetId="0"/>
    <customWorkbookView name="Filtro 19" guid="{BE2B38C5-3A4C-41A6-B1CE-C5BD1A554CE1}" maximized="1" windowWidth="0" windowHeight="0" activeSheetId="0"/>
    <customWorkbookView name="Filtro 153" guid="{D88A4E9B-48B4-4051-9559-DAF3073B092E}" maximized="1" windowWidth="0" windowHeight="0" activeSheetId="0"/>
    <customWorkbookView name="Filtro 152" guid="{68027020-505F-4FEF-B89A-FA26CB86BFBD}" maximized="1" windowWidth="0" windowHeight="0" activeSheetId="0"/>
    <customWorkbookView name="Filtro 151" guid="{42D21524-78A6-48BE-B817-2DEE65E174F2}" maximized="1" windowWidth="0" windowHeight="0" activeSheetId="0"/>
    <customWorkbookView name="Filtro 150" guid="{A0B546EB-9509-40DA-A60B-298EBFE4E59D}" maximized="1" windowWidth="0" windowHeight="0" activeSheetId="0"/>
    <customWorkbookView name="Filtro 157" guid="{BE8CD934-CC4E-44AD-87CB-FAA2F27B5EDE}" maximized="1" windowWidth="0" windowHeight="0" activeSheetId="0"/>
    <customWorkbookView name="Filtro 156" guid="{FFF3EAAB-FE87-47E6-83D5-BE12890C325F}" maximized="1" windowWidth="0" windowHeight="0" activeSheetId="0"/>
    <customWorkbookView name="Filtro 155" guid="{5CDCABD2-B796-4544-A3DF-EA95C60E83B1}" maximized="1" windowWidth="0" windowHeight="0" activeSheetId="0"/>
    <customWorkbookView name="Filtro 154" guid="{1CA5E0BF-68F0-49B9-BAC3-D5150E9684AC}" maximized="1" windowWidth="0" windowHeight="0" activeSheetId="0"/>
    <customWorkbookView name="Filtro 159" guid="{88E135A6-EC14-4A9F-8810-3E1BF8B05913}" maximized="1" windowWidth="0" windowHeight="0" activeSheetId="0"/>
    <customWorkbookView name="Filtro 158" guid="{B687DF64-BC4A-4A5E-86C9-AD317BE257F3}" maximized="1" windowWidth="0" windowHeight="0" activeSheetId="0"/>
    <customWorkbookView name="Filtro 21" guid="{2ACEDE0F-F9B4-496A-AEDF-A3455844D0F1}" maximized="1" windowWidth="0" windowHeight="0" activeSheetId="0"/>
    <customWorkbookView name="Filtro 20" guid="{07518316-F8A7-4EB0-947D-572D32265DD6}" maximized="1" windowWidth="0" windowHeight="0" activeSheetId="0"/>
    <customWorkbookView name="Filtro 23" guid="{82A40C77-C21E-423D-9026-A1FFC3D45689}" maximized="1" windowWidth="0" windowHeight="0" activeSheetId="0"/>
    <customWorkbookView name="Filtro 22" guid="{868430C6-0589-475C-A71F-471025F1F9DA}" maximized="1" windowWidth="0" windowHeight="0" activeSheetId="0"/>
    <customWorkbookView name="Filtro 25" guid="{71E42FA8-6CEB-4654-A089-2A9DF79B5124}" maximized="1" windowWidth="0" windowHeight="0" activeSheetId="0"/>
    <customWorkbookView name="Filtro 9" guid="{CA819861-0AE0-4948-82AE-AB183D929D75}" maximized="1" windowWidth="0" windowHeight="0" activeSheetId="0"/>
    <customWorkbookView name="Filtro 24" guid="{F7A696CE-1C08-47AC-97AB-04922766D35D}" maximized="1" windowWidth="0" windowHeight="0" activeSheetId="0"/>
    <customWorkbookView name="Filtro 8" guid="{7DA9518A-EE5A-427A-8374-9078BCA694F8}" maximized="1" windowWidth="0" windowHeight="0" activeSheetId="0"/>
    <customWorkbookView name="Filtro 27" guid="{6C4E81CA-32B3-4BD4-9A1C-F20FF8B924A7}" maximized="1" windowWidth="0" windowHeight="0" activeSheetId="0"/>
    <customWorkbookView name="Filtro 26" guid="{D864ABD8-FE0C-4DB1-AFBB-435365A1AFFA}" maximized="1" windowWidth="0" windowHeight="0" activeSheetId="0"/>
    <customWorkbookView name="Filtro 29" guid="{AC2A9D44-625D-4777-81CF-B348B418D6A2}" maximized="1" windowWidth="0" windowHeight="0" activeSheetId="0"/>
    <customWorkbookView name="Filtro 28" guid="{1CC9FC42-DA3F-4C4C-8D11-5290D572985F}" maximized="1" windowWidth="0" windowHeight="0" activeSheetId="0"/>
    <customWorkbookView name="Filtro 160" guid="{B7CD9EB0-1531-40C7-9620-5B58C4DE4619}" maximized="1" windowWidth="0" windowHeight="0" activeSheetId="0"/>
    <customWorkbookView name="Filtro 164" guid="{1A2D0BEE-A1E7-4868-B0E7-2299906D2EC9}" maximized="1" windowWidth="0" windowHeight="0" activeSheetId="0"/>
    <customWorkbookView name="Filtro 163" guid="{3E739D3D-4612-4A7D-B065-193217A121C9}" maximized="1" windowWidth="0" windowHeight="0" activeSheetId="0"/>
    <customWorkbookView name="Filtro 162" guid="{0BA908DD-2BB4-48DD-992D-A06F463B3C10}" maximized="1" windowWidth="0" windowHeight="0" activeSheetId="0"/>
    <customWorkbookView name="Filtro 161" guid="{4F2CCAF3-97EF-4C30-8A9B-B6C17B3875D4}" maximized="1" windowWidth="0" windowHeight="0" activeSheetId="0"/>
    <customWorkbookView name="Filtro 168" guid="{0C29AC0F-29EE-43E2-A3A9-238CF9B4E828}" maximized="1" windowWidth="0" windowHeight="0" activeSheetId="0"/>
    <customWorkbookView name="Filtro 167" guid="{CDB621C8-741E-4D49-A1A1-806831C1C801}" maximized="1" windowWidth="0" windowHeight="0" activeSheetId="0"/>
    <customWorkbookView name="Filtro 166" guid="{BE98C523-16C4-4799-B5C7-2FECDEAA3594}" maximized="1" windowWidth="0" windowHeight="0" activeSheetId="0"/>
    <customWorkbookView name="Filtro 165" guid="{8CCE7264-53B5-42E0-91A2-AC90A97DDBB0}" maximized="1" windowWidth="0" windowHeight="0" activeSheetId="0"/>
    <customWorkbookView name="Filtro 90" guid="{FBF43EAE-8290-440F-B9C7-B7F1CB34234E}" maximized="1" windowWidth="0" windowHeight="0" activeSheetId="0"/>
    <customWorkbookView name="Filtro 169" guid="{92D059E1-DD44-46EF-9817-CE8E9ED08641}" maximized="1" windowWidth="0" windowHeight="0" activeSheetId="0"/>
    <customWorkbookView name="Filtro 92" guid="{6A9A4AFA-3A97-4345-9DC1-B2430F067760}" maximized="1" windowWidth="0" windowHeight="0" activeSheetId="0"/>
    <customWorkbookView name="Filtro 91" guid="{B0B99A06-0585-42AE-A3FC-8AB03D179DE1}" maximized="1" windowWidth="0" windowHeight="0" activeSheetId="0"/>
    <customWorkbookView name="Filtro 94" guid="{09D69132-6565-4C75-B6C1-799CDAE8D0C1}" maximized="1" windowWidth="0" windowHeight="0" activeSheetId="0"/>
    <customWorkbookView name="Filtro 93" guid="{423FEFF5-1271-4E5E-909E-F26C45E4687E}" maximized="1" windowWidth="0" windowHeight="0" activeSheetId="0"/>
    <customWorkbookView name="Filtro 96" guid="{1B124F6D-7E9E-4A11-BA68-19BF451F357B}" maximized="1" windowWidth="0" windowHeight="0" activeSheetId="0"/>
    <customWorkbookView name="Filtro 95" guid="{73A11926-2E6F-4871-B727-3B1A920B8A61}" maximized="1" windowWidth="0" windowHeight="0" activeSheetId="0"/>
    <customWorkbookView name="Filtro 10" guid="{6756493F-515F-4BAD-99B9-4D4FD6DD7A9C}" maximized="1" windowWidth="0" windowHeight="0" activeSheetId="0"/>
    <customWorkbookView name="Filtro 98" guid="{351F5E9C-A977-48CE-983D-BE49DC49D48F}" maximized="1" windowWidth="0" windowHeight="0" activeSheetId="0"/>
    <customWorkbookView name="Filtro 97" guid="{48BEEF85-2E21-4F6B-AD21-18C6672F750C}" maximized="1" windowWidth="0" windowHeight="0" activeSheetId="0"/>
    <customWorkbookView name="Filtro 12" guid="{D0F7634C-C90D-415B-A49E-CA2B2308DD43}" maximized="1" windowWidth="0" windowHeight="0" activeSheetId="0"/>
    <customWorkbookView name="Filtro 11" guid="{B41BF864-EE22-4CF9-8F54-DF9C2B01559F}" maximized="1" windowWidth="0" windowHeight="0" activeSheetId="0"/>
    <customWorkbookView name="Filtro 99" guid="{F0BB1313-8DAB-4593-8379-B4E1E3B74303}" maximized="1" windowWidth="0" windowHeight="0" activeSheetId="0"/>
    <customWorkbookView name="Filtro 14" guid="{696FAB15-B4B8-48BE-8F83-E6C9E9CE8934}" maximized="1" windowWidth="0" windowHeight="0" activeSheetId="0"/>
    <customWorkbookView name="Filtro 13" guid="{8512D509-BB82-4790-B030-E04796825D6B}" maximized="1" windowWidth="0" windowHeight="0" activeSheetId="0"/>
    <customWorkbookView name="Filtro 16" guid="{F6E4F345-0495-4811-B173-87C625079C9E}" maximized="1" windowWidth="0" windowHeight="0" activeSheetId="0"/>
    <customWorkbookView name="Filtro 15" guid="{1ACE75D4-78FB-433B-A252-49AC148C336D}" maximized="1" windowWidth="0" windowHeight="0" activeSheetId="0"/>
    <customWorkbookView name="Filtro 18" guid="{308A98F0-B886-4603-9AAA-7507D9F3FDF3}" maximized="1" windowWidth="0" windowHeight="0" activeSheetId="0"/>
    <customWorkbookView name="Filtro 17" guid="{93AB8B81-5F98-4284-B06A-D7CE72815A11}" maximized="1" windowWidth="0" windowHeight="0" activeSheetId="0"/>
    <customWorkbookView name="Filtro 131" guid="{8D24973A-3DD4-4A65-81AA-4A3A5E1B8097}" maximized="1" windowWidth="0" windowHeight="0" activeSheetId="0"/>
    <customWorkbookView name="Filtro 130" guid="{EC630380-4E32-463C-A081-3FD6E39B14D4}" maximized="1" windowWidth="0" windowHeight="0" activeSheetId="0"/>
    <customWorkbookView name="Filtro 135" guid="{498C8090-E789-4002-9AB4-7DA559970D1F}" maximized="1" windowWidth="0" windowHeight="0" activeSheetId="0"/>
    <customWorkbookView name="Filtro 134" guid="{C437C293-DD5A-46C1-9E17-A1E6569A844F}" maximized="1" windowWidth="0" windowHeight="0" activeSheetId="0"/>
    <customWorkbookView name="Filtro 133" guid="{6C0BBECD-A50F-4906-B232-F202421F246E}" maximized="1" windowWidth="0" windowHeight="0" activeSheetId="0"/>
    <customWorkbookView name="Filtro 132" guid="{DB05EF65-D7B5-4DD6-8F09-01BC4E20BF15}" maximized="1" windowWidth="0" windowHeight="0" activeSheetId="0"/>
    <customWorkbookView name="Filtro 139" guid="{4E4B428C-7B14-45A5-8B2C-221969AE8FFF}" maximized="1" windowWidth="0" windowHeight="0" activeSheetId="0"/>
    <customWorkbookView name="Filtro 138" guid="{B7CC4EE4-A846-4603-8481-AD2D4CB802B6}" maximized="1" windowWidth="0" windowHeight="0" activeSheetId="0"/>
    <customWorkbookView name="Filtro 137" guid="{0729D9A8-3FDD-4208-913C-5898A32EB14C}" maximized="1" windowWidth="0" windowHeight="0" activeSheetId="0"/>
    <customWorkbookView name="Filtro 136" guid="{620506BD-90CB-4FFD-ADD6-EEFB9E05D2C2}" maximized="1" windowWidth="0" windowHeight="0" activeSheetId="0"/>
    <customWorkbookView name="Filtro 81" guid="{A5104C11-AB4D-42DF-BDB1-C9ECB067E779}" maximized="1" windowWidth="0" windowHeight="0" activeSheetId="0"/>
    <customWorkbookView name="Filtro 80" guid="{A45E3B99-1ACB-4EBC-B2F2-64674F11650A}" maximized="1" windowWidth="0" windowHeight="0" activeSheetId="0"/>
    <customWorkbookView name="Filtro 83" guid="{D8819ACB-4D4A-4A46-9E67-27B50537E1A0}" maximized="1" windowWidth="0" windowHeight="0" activeSheetId="0"/>
    <customWorkbookView name="Filtro 82" guid="{D6C27E9A-598C-47F2-8F3D-83A50A107790}" maximized="1" windowWidth="0" windowHeight="0" activeSheetId="0"/>
    <customWorkbookView name="Filtro 129" guid="{6B15E0BD-4CEC-4AAD-8552-8A546D6B94C2}" maximized="1" windowWidth="0" windowHeight="0" activeSheetId="0"/>
    <customWorkbookView name="Filtro 85" guid="{9383F315-992B-4F81-9F15-ACA3399A25A8}" maximized="1" windowWidth="0" windowHeight="0" activeSheetId="0"/>
    <customWorkbookView name="Filtro 84" guid="{0C093EF2-FE71-4A36-A5D0-0CC1ED345771}" maximized="1" windowWidth="0" windowHeight="0" activeSheetId="0"/>
    <customWorkbookView name="Filtro 87" guid="{795295AF-CFCB-4FCC-B804-2D2424BE9A49}" maximized="1" windowWidth="0" windowHeight="0" activeSheetId="0"/>
    <customWorkbookView name="Filtro 86" guid="{3D6B9F54-BE99-4813-98C8-B7E13E17DB44}" maximized="1" windowWidth="0" windowHeight="0" activeSheetId="0"/>
    <customWorkbookView name="Filtro 89" guid="{F0BD57BC-C164-490A-B83D-B897FA0D5D2A}" maximized="1" windowWidth="0" windowHeight="0" activeSheetId="0"/>
    <customWorkbookView name="Filtro 88" guid="{F06A8CEB-8F34-47AC-96B0-B61FE8609ACF}" maximized="1" windowWidth="0" windowHeight="0" activeSheetId="0"/>
    <customWorkbookView name="Filtro 142" guid="{B556C7A5-AB95-4E4B-B2D0-18365AF04A31}" maximized="1" windowWidth="0" windowHeight="0" activeSheetId="0"/>
    <customWorkbookView name="Filtro 141" guid="{BB685961-18A5-4353-B9CA-C99E3035439C}" maximized="1" windowWidth="0" windowHeight="0" activeSheetId="0"/>
    <customWorkbookView name="Filtro 140" guid="{4B144270-D511-4B35-9F3A-15D532C23A28}" maximized="1" windowWidth="0" windowHeight="0" activeSheetId="0"/>
    <customWorkbookView name="Filtro 146" guid="{F1C95DF9-78F7-4F8B-91B8-C5B5126E595F}" maximized="1" windowWidth="0" windowHeight="0" activeSheetId="0"/>
    <customWorkbookView name="Filtro 145" guid="{04B94E89-4EC8-4751-9D2C-F81029B1E06C}" maximized="1" windowWidth="0" windowHeight="0" activeSheetId="0"/>
    <customWorkbookView name="Filtro 144" guid="{3D664E02-DE09-446D-8677-45A9E129B71A}" maximized="1" windowWidth="0" windowHeight="0" activeSheetId="0"/>
    <customWorkbookView name="Filtro 143" guid="{DC29F690-9655-45BB-92AA-E95A9B3310FB}" maximized="1" windowWidth="0" windowHeight="0" activeSheetId="0"/>
    <customWorkbookView name="Filtro 149" guid="{1B54CF81-2EE6-41A0-8DAF-9EC2BA627E83}" maximized="1" windowWidth="0" windowHeight="0" activeSheetId="0"/>
    <customWorkbookView name="Filtro 148" guid="{A2DA313D-541E-4594-B799-3E48419A20BA}" maximized="1" windowWidth="0" windowHeight="0" activeSheetId="0"/>
    <customWorkbookView name="Filtro 147" guid="{8D824072-7468-4CA8-93C5-C695445D9E65}" maximized="1" windowWidth="0" windowHeight="0" activeSheetId="0"/>
    <customWorkbookView name="Filtro 70" guid="{6739707D-6665-4B91-A403-33028D89D80B}" maximized="1" windowWidth="0" windowHeight="0" activeSheetId="0"/>
    <customWorkbookView name="Filtro 72" guid="{00AA877A-D943-4DEE-A9D0-0327E6881B5D}" maximized="1" windowWidth="0" windowHeight="0" activeSheetId="0"/>
    <customWorkbookView name="Filtro 71" guid="{7F00D025-E5E3-42AA-BA25-4210D64EDAFB}" maximized="1" windowWidth="0" windowHeight="0" activeSheetId="0"/>
    <customWorkbookView name="Filtro 74" guid="{4D7C0ACA-4002-4014-B735-851D9875261D}" maximized="1" windowWidth="0" windowHeight="0" activeSheetId="0"/>
    <customWorkbookView name="Filtro 73" guid="{24DA35F3-A183-4043-B5A3-CCE9C654A418}" maximized="1" windowWidth="0" windowHeight="0" activeSheetId="0"/>
    <customWorkbookView name="Filtro 76" guid="{1D2CBD60-F563-4C95-AD64-98422B83043F}" maximized="1" windowWidth="0" windowHeight="0" activeSheetId="0"/>
    <customWorkbookView name="Filtro 75" guid="{94B1EE88-AAE4-419C-A337-E394A2D47789}" maximized="1" windowWidth="0" windowHeight="0" activeSheetId="0"/>
    <customWorkbookView name="Filtro 78" guid="{B9BC7587-C8FA-44AE-AF72-4EC169138123}" maximized="1" windowWidth="0" windowHeight="0" activeSheetId="0"/>
    <customWorkbookView name="Filtro 77" guid="{FEA88256-CB03-4841-9B37-F0F16919974C}" maximized="1" windowWidth="0" windowHeight="0" activeSheetId="0"/>
    <customWorkbookView name="Filtro 79" guid="{DFF4B50E-01D0-4A0A-B926-259FB09F099F}" maximized="1" windowWidth="0" windowHeight="0" activeSheetId="0"/>
    <customWorkbookView name="Filtro 113" guid="{1E3418C5-BE5C-4169-B722-868C56F47867}" maximized="1" windowWidth="0" windowHeight="0" activeSheetId="0"/>
    <customWorkbookView name="Filtro 112" guid="{F5C3EDBE-D036-4F19-BBFF-08129EB89FC5}" maximized="1" windowWidth="0" windowHeight="0" activeSheetId="0"/>
    <customWorkbookView name="Filtro 111" guid="{C3AD15E8-13CC-456A-AB04-51AAF9E2980D}" maximized="1" windowWidth="0" windowHeight="0" activeSheetId="0"/>
    <customWorkbookView name="Filtro 110" guid="{F2B8A4F9-E4F8-4ED0-A21F-30A975482C04}" maximized="1" windowWidth="0" windowHeight="0" activeSheetId="0"/>
    <customWorkbookView name="Filtro 117" guid="{47BB50BF-5891-4898-9F00-C079F37784D8}" maximized="1" windowWidth="0" windowHeight="0" activeSheetId="0"/>
    <customWorkbookView name="Filtro 116" guid="{627C91B2-712F-4DFB-B495-28BCEA46E4E2}" maximized="1" windowWidth="0" windowHeight="0" activeSheetId="0"/>
    <customWorkbookView name="Filtro 115" guid="{B3245F46-37F0-4BF4-A32E-422B28702198}" maximized="1" windowWidth="0" windowHeight="0" activeSheetId="0"/>
    <customWorkbookView name="Filtro 114" guid="{AD1169A2-F31B-474D-9D8B-B51D22A5564E}" maximized="1" windowWidth="0" windowHeight="0" activeSheetId="0"/>
    <customWorkbookView name="Filtro 109" guid="{877073CE-EDC5-4AE1-A62C-A28AC7A7A477}" maximized="1" windowWidth="0" windowHeight="0" activeSheetId="0"/>
    <customWorkbookView name="Filtro 61" guid="{E9B33F64-57CC-4836-8989-C37AFAD0A1A1}" maximized="1" windowWidth="0" windowHeight="0" activeSheetId="0"/>
    <customWorkbookView name="Filtro 108" guid="{EF930F08-600E-41B2-A950-EDFA862A4DF5}" maximized="1" windowWidth="0" windowHeight="0" activeSheetId="0"/>
    <customWorkbookView name="Filtro 60" guid="{8EA094D4-B192-4EF2-B9D1-8FBC187F625E}" maximized="1" windowWidth="0" windowHeight="0" activeSheetId="0"/>
    <customWorkbookView name="Filtro 107" guid="{1B04E56E-E798-4C11-95F4-24698B8E55CF}" maximized="1" windowWidth="0" windowHeight="0" activeSheetId="0"/>
    <customWorkbookView name="Filtro 63" guid="{32F40765-F481-472F-9579-B1764A204508}" maximized="1" windowWidth="0" windowHeight="0" activeSheetId="0"/>
    <customWorkbookView name="Filtro 62" guid="{B1825302-A70B-43EF-8B49-193DD91BCFC3}" maximized="1" windowWidth="0" windowHeight="0" activeSheetId="0"/>
    <customWorkbookView name="Filtro 65" guid="{56AFD506-F86B-4274-811D-793BB20DD9D3}" maximized="1" windowWidth="0" windowHeight="0" activeSheetId="0"/>
    <customWorkbookView name="Filtro 64" guid="{93FFEBAE-581D-40DB-8965-BE5241E39C63}" maximized="1" windowWidth="0" windowHeight="0" activeSheetId="0"/>
    <customWorkbookView name="Filtro 67" guid="{E22319CF-3753-47A5-B289-E2A97398BB8E}" maximized="1" windowWidth="0" windowHeight="0" activeSheetId="0"/>
    <customWorkbookView name="Filtro 66" guid="{E7A70FCC-EA4E-40D5-9DDC-E30CAAA6A5E9}" maximized="1" windowWidth="0" windowHeight="0" activeSheetId="0"/>
    <customWorkbookView name="Filtro 69" guid="{45E1B251-B47C-4880-A24C-DFF311DFB6BE}" maximized="1" windowWidth="0" windowHeight="0" activeSheetId="0"/>
    <customWorkbookView name="Filtro 68" guid="{55B42B10-8863-42F1-AE98-5DFC66B0599C}" maximized="1" windowWidth="0" windowHeight="0" activeSheetId="0"/>
    <customWorkbookView name="Filtro 120" guid="{C1014A19-3732-468D-8008-9FAAA22884BA}" maximized="1" windowWidth="0" windowHeight="0" activeSheetId="0"/>
    <customWorkbookView name="Filtro 124" guid="{AD7B492E-5EDA-4AB3-B46E-D679F16BA1C5}" maximized="1" windowWidth="0" windowHeight="0" activeSheetId="0"/>
    <customWorkbookView name="Filtro 123" guid="{9F819FDD-0727-4581-B42E-FBB6FF5FA047}" maximized="1" windowWidth="0" windowHeight="0" activeSheetId="0"/>
    <customWorkbookView name="Filtro 122" guid="{A99246DD-EFB6-438F-9F56-C45BAF1CE7A6}" maximized="1" windowWidth="0" windowHeight="0" activeSheetId="0"/>
    <customWorkbookView name="Filtro 121" guid="{C0BB8DA4-833E-4321-AB5F-AC42635F4B03}" maximized="1" windowWidth="0" windowHeight="0" activeSheetId="0"/>
    <customWorkbookView name="Filtro 128" guid="{8AB9AFC6-AC70-4521-8BB0-1CD8767A0CB2}" maximized="1" windowWidth="0" windowHeight="0" activeSheetId="0"/>
    <customWorkbookView name="Filtro 127" guid="{182CC3BD-F05F-4640-93AB-3E742A49D2F4}" maximized="1" windowWidth="0" windowHeight="0" activeSheetId="0"/>
    <customWorkbookView name="Filtro 126" guid="{A38DF138-839A-4A1C-BC46-D2DEF970C3D5}" maximized="1" windowWidth="0" windowHeight="0" activeSheetId="0"/>
    <customWorkbookView name="Filtro 125" guid="{AFAE9C81-BEC7-4E49-B430-378A11A40202}" maximized="1" windowWidth="0" windowHeight="0" activeSheetId="0"/>
    <customWorkbookView name="Filtro 50" guid="{F15FF684-7769-4505-B2AB-70888CAB489D}" maximized="1" windowWidth="0" windowHeight="0" activeSheetId="0"/>
    <customWorkbookView name="Filtro 119" guid="{DD94A016-46C8-4460-B1C1-C762909060C1}" maximized="1" windowWidth="0" windowHeight="0" activeSheetId="0"/>
    <customWorkbookView name="Filtro 118" guid="{D79DC086-EEDD-4790-8146-D52BA9A7F131}" maximized="1" windowWidth="0" windowHeight="0" activeSheetId="0"/>
    <customWorkbookView name="Filtro 52" guid="{5AA61B26-04EA-4139-9C7F-0A469271FB39}" maximized="1" windowWidth="0" windowHeight="0" activeSheetId="0"/>
    <customWorkbookView name="Filtro 51" guid="{2E5ACC8C-CE46-4BA3-BF00-8C87FFA2314F}" maximized="1" windowWidth="0" windowHeight="0" activeSheetId="0"/>
    <customWorkbookView name="Filtro 54" guid="{1FE7E5D8-7F24-4EC5-B50B-B798FF734343}" maximized="1" windowWidth="0" windowHeight="0" activeSheetId="0"/>
    <customWorkbookView name="Filtro 53" guid="{7AF13999-56AE-4926-8E0B-6078908E462E}" maximized="1" windowWidth="0" windowHeight="0" activeSheetId="0"/>
    <customWorkbookView name="Filtro 56" guid="{80059556-C04D-4F8A-85F1-6777B5AF0DDA}" maximized="1" windowWidth="0" windowHeight="0" activeSheetId="0"/>
    <customWorkbookView name="Filtro 55" guid="{F7FE2BE4-900A-43F6-8C94-35005727D36A}" maximized="1" windowWidth="0" windowHeight="0" activeSheetId="0"/>
    <customWorkbookView name="Filtro 58" guid="{89C1539B-029C-4A93-ABD6-1E5ED24463CE}" maximized="1" windowWidth="0" windowHeight="0" activeSheetId="0"/>
    <customWorkbookView name="Filtro 57" guid="{EA321758-483F-4473-88B9-B2CF626E6766}" maximized="1" windowWidth="0" windowHeight="0" activeSheetId="0"/>
    <customWorkbookView name="Filtro 59" guid="{D072EB94-FC7A-42D0-92E6-38EC69ADB85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3" i="18" l="1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Conservadora
Moderada
Arrojada 
Conservadora com Renda
Moderada com Renda
Arrojada com Renda
Perfil Próprio</t>
        </r>
      </text>
    </comment>
    <comment ref="T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sharedStrings.xml><?xml version="1.0" encoding="utf-8"?>
<sst xmlns="http://schemas.openxmlformats.org/spreadsheetml/2006/main" count="11251" uniqueCount="1694">
  <si>
    <t>Corretora</t>
  </si>
  <si>
    <t>Conta</t>
  </si>
  <si>
    <t>Escritório</t>
  </si>
  <si>
    <t>UF</t>
  </si>
  <si>
    <t>Assessor</t>
  </si>
  <si>
    <t>Observações</t>
  </si>
  <si>
    <t>Carteira</t>
  </si>
  <si>
    <t>E-mail</t>
  </si>
  <si>
    <t>BTG</t>
  </si>
  <si>
    <t>SUL</t>
  </si>
  <si>
    <t>Rodrigo Milanez</t>
  </si>
  <si>
    <t>Bluemetrix</t>
  </si>
  <si>
    <t>DF</t>
  </si>
  <si>
    <t>Norton Fritzsche</t>
  </si>
  <si>
    <t>XP</t>
  </si>
  <si>
    <t>Conservador</t>
  </si>
  <si>
    <t>Thiago Canabrava</t>
  </si>
  <si>
    <t>GO</t>
  </si>
  <si>
    <t>Gustavo Amorim</t>
  </si>
  <si>
    <t>Cliente</t>
  </si>
  <si>
    <t>Status</t>
  </si>
  <si>
    <t>Início da Gestão</t>
  </si>
  <si>
    <t>Taxa de Gestão</t>
  </si>
  <si>
    <t>PF/ PJ</t>
  </si>
  <si>
    <t>Voga</t>
  </si>
  <si>
    <t>Ativo</t>
  </si>
  <si>
    <t>Vivian</t>
  </si>
  <si>
    <t>Alexandre Xavier</t>
  </si>
  <si>
    <t>Felipe Rios</t>
  </si>
  <si>
    <t>Lucas Zambrin</t>
  </si>
  <si>
    <t>Paula Lemos</t>
  </si>
  <si>
    <t>Alexandre Strauch Pereira Coutinho</t>
  </si>
  <si>
    <t>Aline Lordes Saliba</t>
  </si>
  <si>
    <t>Hugo Motta</t>
  </si>
  <si>
    <t>Ana Lucia Falavigna Guilherme</t>
  </si>
  <si>
    <t>Rafael Vilela</t>
  </si>
  <si>
    <t>Luca Bueno</t>
  </si>
  <si>
    <t>Anna Carolina Rocha Gama</t>
  </si>
  <si>
    <t>Antonio Carlos Resende e Silva</t>
  </si>
  <si>
    <t>Assako Utsumi Okada</t>
  </si>
  <si>
    <t>Beatriz Pires Ramos</t>
  </si>
  <si>
    <t>Bianca Faria e Rocha</t>
  </si>
  <si>
    <t>Bruno Jaime</t>
  </si>
  <si>
    <t>Bruno Sacani Sobrinho</t>
  </si>
  <si>
    <t>Bruno Tedesco Rosa</t>
  </si>
  <si>
    <t>Flavio Miguel</t>
  </si>
  <si>
    <t>Carollina Pedrosa Vieira Lima</t>
  </si>
  <si>
    <t>Ciria Coelho Ribeiro</t>
  </si>
  <si>
    <t>Clisia Mara Carreira</t>
  </si>
  <si>
    <t>Clovis Tadeu Rodrigues</t>
  </si>
  <si>
    <t>Daniel Sindeaux Braga</t>
  </si>
  <si>
    <t>004186541</t>
  </si>
  <si>
    <t>Denise Yendo Inada</t>
  </si>
  <si>
    <t>Dilson Manoel Catarino</t>
  </si>
  <si>
    <t>Resgate Total</t>
  </si>
  <si>
    <t>Eduardo Henrique Gomes Martinez</t>
  </si>
  <si>
    <t>Eduardo Leopoldino</t>
  </si>
  <si>
    <t>Fernando Paschoal Lopes</t>
  </si>
  <si>
    <t>004216298</t>
  </si>
  <si>
    <t>Frederico de Avila Miguel</t>
  </si>
  <si>
    <t>Gabriel Nunes de Miranda</t>
  </si>
  <si>
    <t>Heloisa Trevisan Hata</t>
  </si>
  <si>
    <t>Interlagos Construtora e Incorporadora LTDA</t>
  </si>
  <si>
    <t>Ivone Gomes Milanez</t>
  </si>
  <si>
    <t>Joao Alberto Hannuch Nascif</t>
  </si>
  <si>
    <t>João Rafael de Souza Puglia</t>
  </si>
  <si>
    <t>Julian Valone Gorini</t>
  </si>
  <si>
    <t>Julio Vicente de Alvarenga</t>
  </si>
  <si>
    <t>Kenia Mendes Cruz</t>
  </si>
  <si>
    <t>Luciana Machado Viotti de Barros</t>
  </si>
  <si>
    <t>Marcelo Tavares Faria</t>
  </si>
  <si>
    <t>Marco Antonio Guerreiro</t>
  </si>
  <si>
    <t>Marco Aurélio Marques de Castro</t>
  </si>
  <si>
    <t>Marcus Aurelio Liogi</t>
  </si>
  <si>
    <t>Maria das Graças da Silva Pires</t>
  </si>
  <si>
    <t>Rodolfo Gomes</t>
  </si>
  <si>
    <t>BH</t>
  </si>
  <si>
    <t>Mateus da Silva Candido</t>
  </si>
  <si>
    <t>Matheus Henrique Machado</t>
  </si>
  <si>
    <t>004115381</t>
  </si>
  <si>
    <t>Monica Torres Silva</t>
  </si>
  <si>
    <t>Nassim Taleb</t>
  </si>
  <si>
    <t>Andrea Lopes</t>
  </si>
  <si>
    <t>Paulo Henrique de Moraes Mendes</t>
  </si>
  <si>
    <t>Pedro Guilherme Ramos Goya</t>
  </si>
  <si>
    <t>Renan Pereira de Oliveira Tinoco</t>
  </si>
  <si>
    <t>Ricardo Marinho dos Santos</t>
  </si>
  <si>
    <t>Rodolfo Bittencourt Andrade</t>
  </si>
  <si>
    <t>Guilherme Sales</t>
  </si>
  <si>
    <t>Suzy Roriz dos Santos</t>
  </si>
  <si>
    <t>Felipe Cravos</t>
  </si>
  <si>
    <t>William Enio Guedes Fabrício</t>
  </si>
  <si>
    <t xml:space="preserve"> </t>
  </si>
  <si>
    <t>Xtratégia Tecnologia da Informação LTDA ME</t>
  </si>
  <si>
    <t>Zenilda Clea de Paula</t>
  </si>
  <si>
    <t>Alessandro Lourenco Januario</t>
  </si>
  <si>
    <t>Felipe Estevam</t>
  </si>
  <si>
    <t>Bernardo Fortuna Magalhaes</t>
  </si>
  <si>
    <t>Juliana Farias</t>
  </si>
  <si>
    <t>Euler Nunes de Oliveira</t>
  </si>
  <si>
    <t>Fabio Henrique Golas e/ou Aline de Paula Jardim</t>
  </si>
  <si>
    <t>Iracema Matias Morris</t>
  </si>
  <si>
    <t>Joao Paulo Fernandes Guerreiro</t>
  </si>
  <si>
    <t>Joao Rodrigo Santos Milanez</t>
  </si>
  <si>
    <t>Matrice</t>
  </si>
  <si>
    <t>Lara Falavigna Guilherme Nacruth</t>
  </si>
  <si>
    <t>Marcelo Reinecken de Araújo</t>
  </si>
  <si>
    <t>Conquest</t>
  </si>
  <si>
    <t>Rodger</t>
  </si>
  <si>
    <t>Maria de Fátima Nunes Franco</t>
  </si>
  <si>
    <t>Vitor Mafra</t>
  </si>
  <si>
    <t>Paulo Fernando Ulian</t>
  </si>
  <si>
    <t>Philipe Ferreira da Silva Lima</t>
  </si>
  <si>
    <t>Pollyanna de Oliveira Rocha</t>
  </si>
  <si>
    <t>Rejane Elizabeth Maria Jaqueto</t>
  </si>
  <si>
    <t>William Sorgi Jabur</t>
  </si>
  <si>
    <t>31/01/2021</t>
  </si>
  <si>
    <t>28/02/2021</t>
  </si>
  <si>
    <t>31/03/2021</t>
  </si>
  <si>
    <t>30/04/2021</t>
  </si>
  <si>
    <t>Genial</t>
  </si>
  <si>
    <t>Andre Vinicius Silva Pinto</t>
  </si>
  <si>
    <t>1832250</t>
  </si>
  <si>
    <t>Israel</t>
  </si>
  <si>
    <t>2445589</t>
  </si>
  <si>
    <t>Renan Silva</t>
  </si>
  <si>
    <t>Claudia Pereira Brandão</t>
  </si>
  <si>
    <t>2956150</t>
  </si>
  <si>
    <t>Fernando Amaro</t>
  </si>
  <si>
    <t>Não começou</t>
  </si>
  <si>
    <t>Victor Caldeira</t>
  </si>
  <si>
    <t>João</t>
  </si>
  <si>
    <t>Luciana Pacheco de Brito</t>
  </si>
  <si>
    <t>1822017</t>
  </si>
  <si>
    <t>Breno</t>
  </si>
  <si>
    <t>Norton Jr.</t>
  </si>
  <si>
    <t>1922798</t>
  </si>
  <si>
    <t>Roberly</t>
  </si>
  <si>
    <t>Pedro Ferreira</t>
  </si>
  <si>
    <t>Raíssa Castilho Martins Ferreira</t>
  </si>
  <si>
    <t>1884055</t>
  </si>
  <si>
    <t>Ricardo Russo</t>
  </si>
  <si>
    <t>1586968</t>
  </si>
  <si>
    <t>Rubem Soares de Oliveira Lima</t>
  </si>
  <si>
    <t>2066065</t>
  </si>
  <si>
    <t>Washington Leonardo Guanaes Bonini</t>
  </si>
  <si>
    <t>2245369</t>
  </si>
  <si>
    <t>Otávio Alves Forte</t>
  </si>
  <si>
    <t>30/09/2020</t>
  </si>
  <si>
    <t>31/05/2021</t>
  </si>
  <si>
    <t>Guide</t>
  </si>
  <si>
    <t>Acacio Zuniga Leite</t>
  </si>
  <si>
    <t>Adriano Gonçalves Barbosa de Castro</t>
  </si>
  <si>
    <t>Rafael</t>
  </si>
  <si>
    <t>Adriele de Paula Jardim Lazaro</t>
  </si>
  <si>
    <t>Agnes Louize Moura de Santana</t>
  </si>
  <si>
    <t>Alberto Rodrigues de Sousa Junior</t>
  </si>
  <si>
    <t>Alexandre Aparizi</t>
  </si>
  <si>
    <t>Alexandre de Sousa Carvalho Gouveia</t>
  </si>
  <si>
    <t>Alexandre Matias Morris</t>
  </si>
  <si>
    <t>Andreia de Andrade Taborda</t>
  </si>
  <si>
    <t>Anna Clara Monteiro da Rosa Maia</t>
  </si>
  <si>
    <t>Anne Lobo Filho</t>
  </si>
  <si>
    <t>Anselmo de Sa Ribeiro Filho</t>
  </si>
  <si>
    <t>Antonio Carlos Petrus</t>
  </si>
  <si>
    <t>Antonio de Queiroz Noleto</t>
  </si>
  <si>
    <t>Arlete Ferreira Farias</t>
  </si>
  <si>
    <t>Auto Posto Vale do Reno LTDA</t>
  </si>
  <si>
    <t>Ayrton de Souza Ferreira Júnior</t>
  </si>
  <si>
    <t>Barbara Oliveira Souza</t>
  </si>
  <si>
    <t>Bruna Rosolen de Faria</t>
  </si>
  <si>
    <t>Brunno Gomes Rocha</t>
  </si>
  <si>
    <t>Caio Hannuch Nascif</t>
  </si>
  <si>
    <t>Camilla El Haje Lobo Borges</t>
  </si>
  <si>
    <t>Camilo Molino Guidoni</t>
  </si>
  <si>
    <t>Carlos Edebrando Martini</t>
  </si>
  <si>
    <t>Carlos Fernando Matias Morris</t>
  </si>
  <si>
    <t>Cheila Rodrigues Wobido</t>
  </si>
  <si>
    <t>Cláudia Aparecida Carneiro</t>
  </si>
  <si>
    <t>Cleber Carvalho Maciel</t>
  </si>
  <si>
    <t>Cleyverton Garcia Lima</t>
  </si>
  <si>
    <t>Clube de Investimentos Métrica</t>
  </si>
  <si>
    <t>Conceicao Jesus de Almeida Barrozo</t>
  </si>
  <si>
    <t>Controller Assessoria Contabil S/S</t>
  </si>
  <si>
    <t>Controller Servicos Contabeis Digital LTDA</t>
  </si>
  <si>
    <t>Cristhiane Bertan Ribeiro Liogi</t>
  </si>
  <si>
    <t>DAP - Diagnostico Em Anatomia Patologica e Biologia Molecula</t>
  </si>
  <si>
    <t>Diego Martins Silva do Amaral</t>
  </si>
  <si>
    <t>Douglas de Andrade Vileforte da Silva</t>
  </si>
  <si>
    <t>Ellen Verri Lopes</t>
  </si>
  <si>
    <t>Euriberto de Araujo Santana</t>
  </si>
  <si>
    <t>Fabiana Regiani</t>
  </si>
  <si>
    <t>Fabiano de Andrade Faria</t>
  </si>
  <si>
    <t>Fabricio Trindade de Sousa</t>
  </si>
  <si>
    <t>Fatima Alves da Costa Talaveira</t>
  </si>
  <si>
    <t>Felipe Kutlak Pádua</t>
  </si>
  <si>
    <t>Felipe Rossi Ramos</t>
  </si>
  <si>
    <t>Flavia Bordin Silva</t>
  </si>
  <si>
    <t>-</t>
  </si>
  <si>
    <t>Flavio Cesar Imazu Santana</t>
  </si>
  <si>
    <t>Gabriel Jorge SULadera</t>
  </si>
  <si>
    <t>Gabriel Lima Lopes e/ou Stephanie Benabou</t>
  </si>
  <si>
    <t>Gabriel Machado Leite</t>
  </si>
  <si>
    <t>Giseli Giocondo</t>
  </si>
  <si>
    <t>Glauco Leonardo Evangelista Guimaraes</t>
  </si>
  <si>
    <t>Guilherme Conte Diniz</t>
  </si>
  <si>
    <t>Guilherme Figueiredo Ferreira</t>
  </si>
  <si>
    <t>Guilherme Otavio Morais de Carvalho</t>
  </si>
  <si>
    <t>Guiomar Rodrigues de Carvalho</t>
  </si>
  <si>
    <t>Gustavo Athaide Halmenschlager</t>
  </si>
  <si>
    <t>Henrique Reinert Lopes Dias</t>
  </si>
  <si>
    <t>Hugo Franco Rodrigues</t>
  </si>
  <si>
    <t>Ilham Lebbos Ruzon</t>
  </si>
  <si>
    <t>Imc Construcoes Ltda</t>
  </si>
  <si>
    <t>Inez Guimarães Altafin Cavechia e/ou Sergio Raimundini Cavechia</t>
  </si>
  <si>
    <t>Irae Ferreira Lopes</t>
  </si>
  <si>
    <t>Ivonilde Ferreira Kamikabeya</t>
  </si>
  <si>
    <t>Janaina Tenorio Trancoso Tavares Da Silva</t>
  </si>
  <si>
    <t>Janice Madi Hannuch</t>
  </si>
  <si>
    <t>Joao Leopoldo Romao Serednicki</t>
  </si>
  <si>
    <t>Joao Paulo Setubal Campos Martins</t>
  </si>
  <si>
    <t>João Pedro Finger Couto</t>
  </si>
  <si>
    <t>Joao Soitiro Yokoyama e/ou Talma Rachel Agner Yokoyama</t>
  </si>
  <si>
    <t>Jorge Gomes De Araujo</t>
  </si>
  <si>
    <t>Jose Humberto de Souza Borges</t>
  </si>
  <si>
    <t>Jose Jorge da Rosa Neto</t>
  </si>
  <si>
    <t>Jose Roberto Boselli Junior</t>
  </si>
  <si>
    <t>Jose Robson Bezerra Sereno</t>
  </si>
  <si>
    <t>Jose Rodolfo Martines Balbino</t>
  </si>
  <si>
    <t>Juliana Balan Machado</t>
  </si>
  <si>
    <t>Juliana de Paula Silva Ramalho ou Saulo</t>
  </si>
  <si>
    <t>Julio Cezar Portes</t>
  </si>
  <si>
    <t>Karina Amorim dos Santos</t>
  </si>
  <si>
    <t>Leonardo Franco Rodrigues</t>
  </si>
  <si>
    <t>Leonildo Quaglio</t>
  </si>
  <si>
    <t>Lider Combustiveis Ltda</t>
  </si>
  <si>
    <t>Lissa Moreira Marques</t>
  </si>
  <si>
    <t>Distrato</t>
  </si>
  <si>
    <t>Lucilayne dos Santos Monteiro</t>
  </si>
  <si>
    <t>Luiz Fernando Borges Mozzaquatro e/ou Elisa Assunção Mozzaqua</t>
  </si>
  <si>
    <t>Luiz Fernando Coelho da Cunha Filho</t>
  </si>
  <si>
    <t>Tatiane Cavalcante</t>
  </si>
  <si>
    <t>Maitri Empreendimentos LTDA</t>
  </si>
  <si>
    <t>Marcelo de Paiva Caetano</t>
  </si>
  <si>
    <t>Marco Aurelio de Freitas Rodrigues</t>
  </si>
  <si>
    <t>Marcos Aurelio Pelarim e Carvalho Grade</t>
  </si>
  <si>
    <t>Marcos Leandro Matias Morris</t>
  </si>
  <si>
    <t>Maria Caroline Fernandes Simon Jaqueto</t>
  </si>
  <si>
    <t>Maria das Graças Costa</t>
  </si>
  <si>
    <t>Maria Fernanda Feitosa de Camargo Boin e/ou Plinio Angelo Boin</t>
  </si>
  <si>
    <t>Maria Regina Costa Alvarez</t>
  </si>
  <si>
    <t>Marina Yendo Inada</t>
  </si>
  <si>
    <t>Mauricio de Figueiredo Correa da Veiga</t>
  </si>
  <si>
    <t>Michell Pratt Sorgi Jabur</t>
  </si>
  <si>
    <t>MRZ Construçoes Civis LTDA EPP</t>
  </si>
  <si>
    <t>Murillo Mendes Manente</t>
  </si>
  <si>
    <t>Naia Camelo Vilas Boas</t>
  </si>
  <si>
    <t>Natália Rezende de Almeida Santos</t>
  </si>
  <si>
    <t>NDD Participações S/S LTDA</t>
  </si>
  <si>
    <t>Nelson Dequech</t>
  </si>
  <si>
    <t>O Universitário Restaurante</t>
  </si>
  <si>
    <t>Odil Garrido Campos de Andrade</t>
  </si>
  <si>
    <t>Otoplus Otorrinolaringologia S S Ltda</t>
  </si>
  <si>
    <t>Patrick Francois Durans Amorim</t>
  </si>
  <si>
    <t>Rafael Agostinho Maioli</t>
  </si>
  <si>
    <t>Rafael Gomes Dias</t>
  </si>
  <si>
    <t>Rafael Natale Fiorelli</t>
  </si>
  <si>
    <t>Rafael Pellicano de Figueiredo</t>
  </si>
  <si>
    <t>Rafaella SULadera</t>
  </si>
  <si>
    <t>Raquel Marques Luz</t>
  </si>
  <si>
    <t>Renan Pieratti</t>
  </si>
  <si>
    <t>Karla</t>
  </si>
  <si>
    <t>Ricardo de Oliveira Ramos</t>
  </si>
  <si>
    <t>Ricardo Yamasaki Santiago</t>
  </si>
  <si>
    <t>Roberto Kussmaul</t>
  </si>
  <si>
    <t>Rodrigo Nunes Franco</t>
  </si>
  <si>
    <t>Rodrigo Veiga De Oliveira</t>
  </si>
  <si>
    <t>Rogerio Bueno Elias</t>
  </si>
  <si>
    <t>Ronaldo Mafia Cuenca</t>
  </si>
  <si>
    <t>Roseli Aparecida Giocondo</t>
  </si>
  <si>
    <t>Sabrina Mendes Lago</t>
  </si>
  <si>
    <t>Sol Comércio de Combustiveis Ltda</t>
  </si>
  <si>
    <t>Taigoara Finardi Martins</t>
  </si>
  <si>
    <t>Tatiana Maria Carvalho de Paula</t>
  </si>
  <si>
    <t>Thais de Oliveira Silva</t>
  </si>
  <si>
    <t>Vilmar José Fortuna (Celso)</t>
  </si>
  <si>
    <t>Vilson Ferreira Muniz</t>
  </si>
  <si>
    <t>Vitor Henrique Lages Ferreira</t>
  </si>
  <si>
    <t>Viviana Peribanez Gonzalez de Araújo</t>
  </si>
  <si>
    <t>Viviane Christine Monteiro Peres</t>
  </si>
  <si>
    <t>Wagner Alberto Matheus Barradas</t>
  </si>
  <si>
    <t>Wagner Moraes da Silva</t>
  </si>
  <si>
    <t>Wagner Vaz Cardozo</t>
  </si>
  <si>
    <t>Localização</t>
  </si>
  <si>
    <t>Achilles Cappellesso Junior</t>
  </si>
  <si>
    <t>Arrojada</t>
  </si>
  <si>
    <t>Adriana Ferrari Pimentel</t>
  </si>
  <si>
    <t>Gil/Victor Caldeira</t>
  </si>
  <si>
    <t>Moderada</t>
  </si>
  <si>
    <t>Adriana Laus de Aquino</t>
  </si>
  <si>
    <t>Gil/Luciano Vilanova</t>
  </si>
  <si>
    <t>Income</t>
  </si>
  <si>
    <t>Conservadora</t>
  </si>
  <si>
    <t>Afonso Franklin Meireles de Araujo</t>
  </si>
  <si>
    <t>Equities</t>
  </si>
  <si>
    <t>Aldo Aguirre Aristimunho</t>
  </si>
  <si>
    <t>Alessandra Lepesqueur Brochado</t>
  </si>
  <si>
    <t>Alexandre Alves e Souza</t>
  </si>
  <si>
    <t>Alexandre Rodrigues da Silva</t>
  </si>
  <si>
    <t>Imobiliária</t>
  </si>
  <si>
    <t>Alexis Beraldo de Morais</t>
  </si>
  <si>
    <t>Yasmin Muniz</t>
  </si>
  <si>
    <t>Lucio Moscareli</t>
  </si>
  <si>
    <t>Amanda Gabriele do Nascimento Vidal</t>
  </si>
  <si>
    <t>Gama</t>
  </si>
  <si>
    <t>Ana Alice da Costa Silva</t>
  </si>
  <si>
    <t>Gabriel Raydan</t>
  </si>
  <si>
    <t>Ana Luisa Cunha Campos Dieguez</t>
  </si>
  <si>
    <t>Lucas Lôbo Ataide</t>
  </si>
  <si>
    <t>André Castro</t>
  </si>
  <si>
    <t>Andre Luis Fernandes Gouveia</t>
  </si>
  <si>
    <t>Andre Luiz Souza da Silveira</t>
  </si>
  <si>
    <t>Antonio Carlos</t>
  </si>
  <si>
    <t>18890</t>
  </si>
  <si>
    <t>Anna Maria de Almeida Carneiro</t>
  </si>
  <si>
    <t>Prev. Conservadora</t>
  </si>
  <si>
    <t>Antera Construtora Eireli</t>
  </si>
  <si>
    <t>Ariene Maria Vimieiro Saabor</t>
  </si>
  <si>
    <t>Sudoeste</t>
  </si>
  <si>
    <t>Ariosvaldo Ferreira Nunes</t>
  </si>
  <si>
    <t>Armando Silveira Martins</t>
  </si>
  <si>
    <t>Arthur Lanna Appelt</t>
  </si>
  <si>
    <t>Equities 80</t>
  </si>
  <si>
    <t>Atilio Rulli</t>
  </si>
  <si>
    <t>Lorenzo Rulli</t>
  </si>
  <si>
    <t>Bertha Lins Pellegrino</t>
  </si>
  <si>
    <t>Daniel Cambraia</t>
  </si>
  <si>
    <t>Arrojada 80</t>
  </si>
  <si>
    <t xml:space="preserve">Pedro Paulo Alves  </t>
  </si>
  <si>
    <t>Bruno Albanese Cezarini Tavares</t>
  </si>
  <si>
    <t>Bruno Sartório Silva</t>
  </si>
  <si>
    <t>Bruno Silva de Medeiros</t>
  </si>
  <si>
    <t>Caio Cesar Boschi</t>
  </si>
  <si>
    <t>Arrojada 70</t>
  </si>
  <si>
    <t>Prev. Moderada</t>
  </si>
  <si>
    <t>Conservadora/FIIs</t>
  </si>
  <si>
    <t>Camila Veloso Araujo Frelat</t>
  </si>
  <si>
    <t>Camilla Ernesto Pereira</t>
  </si>
  <si>
    <t>Carla Cristinne Inoue Skalinski</t>
  </si>
  <si>
    <t>Carlos Alberto Cardozo</t>
  </si>
  <si>
    <t>Carlos Everton Santos Santana</t>
  </si>
  <si>
    <t>Carlos Roberto Cestari</t>
  </si>
  <si>
    <t>Caroline Bastos de Souza</t>
  </si>
  <si>
    <t>Celso Eduardo Lopes de Oliveira</t>
  </si>
  <si>
    <t>Celso Flavio Baldotto Covre</t>
  </si>
  <si>
    <t>Neyla Abrantes</t>
  </si>
  <si>
    <t>Celso Jose Cardoso Dilascio</t>
  </si>
  <si>
    <t>Rogério Magalhães</t>
  </si>
  <si>
    <t>João Victor Beze</t>
  </si>
  <si>
    <t>César Augusto da Silva</t>
  </si>
  <si>
    <t>Cintia Uchida Rodrigues</t>
  </si>
  <si>
    <t>Clarissa Costa de Barros</t>
  </si>
  <si>
    <t>Claudia Naves Inneco</t>
  </si>
  <si>
    <t>Victor Caldeira/Eduardo Leopoldino</t>
  </si>
  <si>
    <t>Claudio Marcos de Oliveira</t>
  </si>
  <si>
    <t>Rejane Machado</t>
  </si>
  <si>
    <t>Clenio Eduardo Souza</t>
  </si>
  <si>
    <t>Cleumy Braga da Gama</t>
  </si>
  <si>
    <t>Alexandre Fontenelle</t>
  </si>
  <si>
    <t>Arthur Puccinelli</t>
  </si>
  <si>
    <t>Cristiane Borja Rodrigues da Silva</t>
  </si>
  <si>
    <t>Cristina Vieira Araújo</t>
  </si>
  <si>
    <t>Gil/Gustavo Amorim</t>
  </si>
  <si>
    <t>Multi Macro</t>
  </si>
  <si>
    <t>Cecilia Arcoverde</t>
  </si>
  <si>
    <t>Calebe</t>
  </si>
  <si>
    <t>Daniel Esteves Fonseca Franco</t>
  </si>
  <si>
    <t>Cássio Mello</t>
  </si>
  <si>
    <t>Daniel Silva Boia</t>
  </si>
  <si>
    <t>Daniela de Martins Souza</t>
  </si>
  <si>
    <t>Daniely Marçal Silvino de Brito</t>
  </si>
  <si>
    <t>Danilo Di Rezende Bernardes</t>
  </si>
  <si>
    <t>Moderada 20</t>
  </si>
  <si>
    <t>Débora Inhaquite Bolfoni da Cunha</t>
  </si>
  <si>
    <t>Débora Maçaneiro Vieira</t>
  </si>
  <si>
    <t>Denise Freire Menicucci</t>
  </si>
  <si>
    <t>Victor Caldeira/Luciano Vilanova</t>
  </si>
  <si>
    <t>Denise Maria Ventura de Alcântara</t>
  </si>
  <si>
    <t>Diego Medeiros</t>
  </si>
  <si>
    <t>Diocesmar Felipe de Faria</t>
  </si>
  <si>
    <t>Durval Sobreiro Junior</t>
  </si>
  <si>
    <t>Eduardo Amorim de Lemos</t>
  </si>
  <si>
    <t>Eduardo Maia Magalhães</t>
  </si>
  <si>
    <t>Eduardo Soares do Couto Filho</t>
  </si>
  <si>
    <t>Leandro Sousa</t>
  </si>
  <si>
    <t>Elessandro Alves Pereira</t>
  </si>
  <si>
    <t>Eliana Marcia Vieira Lopes</t>
  </si>
  <si>
    <t>Elizabeth Mendonca Bueno</t>
  </si>
  <si>
    <t>Emmanuelle Alkmim de Castro Branco</t>
  </si>
  <si>
    <t>Erico Araujo Rocha</t>
  </si>
  <si>
    <t>Marcos Valadão</t>
  </si>
  <si>
    <t>Feliciano Campos Pedrosa</t>
  </si>
  <si>
    <t>Marcelo Pedrosa</t>
  </si>
  <si>
    <t>Felipe Galvao de Melo</t>
  </si>
  <si>
    <t>Fernando Victor Amaro</t>
  </si>
  <si>
    <t>Corporate</t>
  </si>
  <si>
    <t>Flavia de Sousa Marquez Morais</t>
  </si>
  <si>
    <t>Flávia Moreira Prudente Demes</t>
  </si>
  <si>
    <t>Gabriel Prudente</t>
  </si>
  <si>
    <t>Frederico Fernandes de Souza Mulina Pereira</t>
  </si>
  <si>
    <t>Gabriel Basile Pantazis</t>
  </si>
  <si>
    <t>Fernando Menicucci/Victor Caldeira</t>
  </si>
  <si>
    <t>Gabriel de Oliveira</t>
  </si>
  <si>
    <t>Bruno Krohn</t>
  </si>
  <si>
    <t>Gabriel Santos do Amaral Pires</t>
  </si>
  <si>
    <t>Geancarlo Jandre</t>
  </si>
  <si>
    <t>GHD Empreendimentos Imobiliarios LTDA</t>
  </si>
  <si>
    <t>Giga TV Eireli</t>
  </si>
  <si>
    <t>Gilmar Araujo Neves</t>
  </si>
  <si>
    <t>Gilson Apolinário Alencar</t>
  </si>
  <si>
    <t>Glauber Oliveira Silva</t>
  </si>
  <si>
    <t>Glaucia de Avila Oliveira</t>
  </si>
  <si>
    <t>Graziela Monaco Biavati</t>
  </si>
  <si>
    <t>Guilherme Avelar de Souza</t>
  </si>
  <si>
    <t>Guilherme Barreto Silva</t>
  </si>
  <si>
    <t>Guilherme Nogueira Bassi</t>
  </si>
  <si>
    <t>Guilherme Porangaba Barbosa</t>
  </si>
  <si>
    <t>Gustavo Dauster Vivacqua e Silva</t>
  </si>
  <si>
    <t>Guttenberg Rodrigues Pereira Primo</t>
  </si>
  <si>
    <t>Rogério Coelho</t>
  </si>
  <si>
    <t>Hepta Tecnologia e Informatica Ltda</t>
  </si>
  <si>
    <t>Hernane da Silva Ribeiro</t>
  </si>
  <si>
    <t>Conservadora 5</t>
  </si>
  <si>
    <t>Hugo de Pina Junior</t>
  </si>
  <si>
    <t>Gabriel Borges</t>
  </si>
  <si>
    <t>Igor de Souza Saraiva</t>
  </si>
  <si>
    <t>Igor Martins Silva</t>
  </si>
  <si>
    <t>Ilton Luis Guimarães de Siqueira</t>
  </si>
  <si>
    <t>Moderada 50</t>
  </si>
  <si>
    <t>Isabela Vilas Boas Fontenelle de Mendonça Bernardes</t>
  </si>
  <si>
    <t>Iuri Salles Cozac</t>
  </si>
  <si>
    <t>Ivanete de Souza Melo Santos</t>
  </si>
  <si>
    <t>João Beze Sobrinho</t>
  </si>
  <si>
    <t>Joao Henrique dos Santos Fernandes</t>
  </si>
  <si>
    <t>Jorge Augusto Laburu</t>
  </si>
  <si>
    <t>Jorge Gomes de Araujo</t>
  </si>
  <si>
    <t>Cecilia</t>
  </si>
  <si>
    <t>José Carlos de Souza Neto</t>
  </si>
  <si>
    <t>Moderada 30</t>
  </si>
  <si>
    <t>José Gomes Machado</t>
  </si>
  <si>
    <t>José Guilherme Maia</t>
  </si>
  <si>
    <t>José Humberto de Souza Borges</t>
  </si>
  <si>
    <t>José Olegario da Cruz Neto</t>
  </si>
  <si>
    <t>Rafaele Alves</t>
  </si>
  <si>
    <t>Kelvio dos Santos Pinto</t>
  </si>
  <si>
    <t>Kenyo Roriz Meireles</t>
  </si>
  <si>
    <t>L&amp;V Administração e Participações Empreesariais LTDA</t>
  </si>
  <si>
    <t>Laís do Prado Costa</t>
  </si>
  <si>
    <t>Lanna Cristina Gomes Leite</t>
  </si>
  <si>
    <t>Larisse Campos Meireles</t>
  </si>
  <si>
    <t>Laurindo Aelsom Teixeira Costa</t>
  </si>
  <si>
    <t>Leandro Gondim Silva</t>
  </si>
  <si>
    <t>Leonardo Leal Leite</t>
  </si>
  <si>
    <t>Leonardo Mendes Amorim</t>
  </si>
  <si>
    <t>Leonardo Peleja Vizeu Lima</t>
  </si>
  <si>
    <t>Jéssica Ribeiro</t>
  </si>
  <si>
    <t>Gil/Eduardo Leopoldino</t>
  </si>
  <si>
    <t>Liliara Cristiane Freo</t>
  </si>
  <si>
    <t xml:space="preserve">Lincoln Antonio Aires </t>
  </si>
  <si>
    <t>Lucas Abdallah Correa</t>
  </si>
  <si>
    <t>Lucas Alves de Brito Baeta</t>
  </si>
  <si>
    <t xml:space="preserve">Arthur Figueiró </t>
  </si>
  <si>
    <t>Lucca de Paiva Azevedo</t>
  </si>
  <si>
    <t>Luciana Navarro de Oliveira Santos</t>
  </si>
  <si>
    <t>Luis José Maranhão Neto</t>
  </si>
  <si>
    <t>Manoela de Oliveira Carvalho Botezelli</t>
  </si>
  <si>
    <t>Isabella Almeida</t>
  </si>
  <si>
    <t>Marcelle Passarinho Maia</t>
  </si>
  <si>
    <t>Marcelo Botton Piccin</t>
  </si>
  <si>
    <t>Marcelo de Oliveira Maia</t>
  </si>
  <si>
    <t>Marcelo Franco Paes Leme</t>
  </si>
  <si>
    <t>Marcelo Silva Barbosa</t>
  </si>
  <si>
    <t>Equities/FIIs</t>
  </si>
  <si>
    <t>Diogo Segabinazzi</t>
  </si>
  <si>
    <t>Marcio Camargo Cunha Filho</t>
  </si>
  <si>
    <t>Marcio Lopes Siqueira</t>
  </si>
  <si>
    <t>Marco Aurélio Marques de Castro</t>
  </si>
  <si>
    <t>Marcos Augusto do Nascimento Vidal</t>
  </si>
  <si>
    <t>Marcos Luiz dos Mares Guia Neto</t>
  </si>
  <si>
    <t>Maria Jose Dias</t>
  </si>
  <si>
    <t xml:space="preserve">Maria Lúcia Jaime </t>
  </si>
  <si>
    <t>Maria Olivia Bethonico Correa</t>
  </si>
  <si>
    <t>Mateus Silva Carvalho</t>
  </si>
  <si>
    <t>Matheus Herthel Souza Belo</t>
  </si>
  <si>
    <t>Matthew Paz Carvalho</t>
  </si>
  <si>
    <t>Lucas Zambrim</t>
  </si>
  <si>
    <t>Mayara Alves Monteiro</t>
  </si>
  <si>
    <t>Monica Rocha Azevedo Figueiro</t>
  </si>
  <si>
    <t>Mônica Torres Silva</t>
  </si>
  <si>
    <t>Victor Caldeira/Gustavo Amorim</t>
  </si>
  <si>
    <t>Multpaper Distribuidora de Papeis LTDA</t>
  </si>
  <si>
    <t>Natal Ferreira das Dores</t>
  </si>
  <si>
    <t>Nathalia Alcantara de Albuquerque</t>
  </si>
  <si>
    <t>Neander Cambraia</t>
  </si>
  <si>
    <t>Nemora Paim dos Santos</t>
  </si>
  <si>
    <t>Oscar Moura Vorcaro</t>
  </si>
  <si>
    <t>Osmar Prudente</t>
  </si>
  <si>
    <t>Paulo Henrique Mamede Bernardes</t>
  </si>
  <si>
    <t>Paulo Renato Simmons de Paula</t>
  </si>
  <si>
    <t>Paulo Roberto Alvares Soeiro</t>
  </si>
  <si>
    <t>Thiago Brum</t>
  </si>
  <si>
    <t>Pedro Paulo Sampaio Barros</t>
  </si>
  <si>
    <t>Caio de Castro</t>
  </si>
  <si>
    <t>17831</t>
  </si>
  <si>
    <t>Rafael de Araujo Damas</t>
  </si>
  <si>
    <t>Raphael Barreto de Souza Mendonça</t>
  </si>
  <si>
    <t>Raphael Pereira Hablitzel</t>
  </si>
  <si>
    <t>Raphael Steckelberg</t>
  </si>
  <si>
    <t>Raphaela Costa Leite Bueno</t>
  </si>
  <si>
    <t>Raquel Valadares Von Glehn Ribeiro</t>
  </si>
  <si>
    <t>Rauni Lamaro Lima</t>
  </si>
  <si>
    <t>Rejane Maria Dantas Maia</t>
  </si>
  <si>
    <t>Renata Freitas Chamarelli</t>
  </si>
  <si>
    <t>Renato Antonio Coutinho Bernardes</t>
  </si>
  <si>
    <t>Renato Sendin</t>
  </si>
  <si>
    <t>Ricardo Abreu Emediato</t>
  </si>
  <si>
    <t>Ricardo de Oliveira Santos Rapchan</t>
  </si>
  <si>
    <t>Ricardo Gomes de Queiroz</t>
  </si>
  <si>
    <t>Roberto Alexandre Neves Fernandes Filho</t>
  </si>
  <si>
    <t>Roberto Soares Sacramento</t>
  </si>
  <si>
    <t>Rodrigo Barros Mendonça</t>
  </si>
  <si>
    <t>Rodrigo Silva Rocha</t>
  </si>
  <si>
    <t>Ronnei Jose Feitosa de Assis</t>
  </si>
  <si>
    <t>Rosangela Rodrigues de Carvalho</t>
  </si>
  <si>
    <t>Rossana de Miranda Almeida</t>
  </si>
  <si>
    <t>Sabrina Martins Xavier</t>
  </si>
  <si>
    <t>Pedro Uno</t>
  </si>
  <si>
    <t>Sandra Maria de Albuquerque Costa</t>
  </si>
  <si>
    <t>André Araújo</t>
  </si>
  <si>
    <t>Sandra Maria de Faria</t>
  </si>
  <si>
    <t>Sempre Autoridade</t>
  </si>
  <si>
    <t>Sempre Tecnologia</t>
  </si>
  <si>
    <t>Sérgio Lincoln de Matos Arruda</t>
  </si>
  <si>
    <t>Arrojada 40</t>
  </si>
  <si>
    <t>Sergio Luz de Souza</t>
  </si>
  <si>
    <t>Sibelia Teixeira da Silva Dias</t>
  </si>
  <si>
    <t>Antonis Rodopoulos</t>
  </si>
  <si>
    <t>Silval José Alves Filho</t>
  </si>
  <si>
    <t>Silvania Pereira da Costa</t>
  </si>
  <si>
    <t>Silvia Carla Galli Leyser</t>
  </si>
  <si>
    <t>Silvia Ruth Penaloza Diez</t>
  </si>
  <si>
    <t>David Mendes</t>
  </si>
  <si>
    <t>Simone de Luca Liu</t>
  </si>
  <si>
    <t>Tatiana de Oliveira Santos Rapchan</t>
  </si>
  <si>
    <t>Tera Telecom Eireli</t>
  </si>
  <si>
    <t>Thiago Lucas Leite de Noronha</t>
  </si>
  <si>
    <t>Tiago Alvim</t>
  </si>
  <si>
    <t>Tiago Costa Chaves</t>
  </si>
  <si>
    <t>Tulio Duarte Faria</t>
  </si>
  <si>
    <t>Ubirajara Fonseca de Vasconcelos Filho</t>
  </si>
  <si>
    <t>Vera Ferreira Caixeta</t>
  </si>
  <si>
    <t>Vera Lucia Falssi Marchese</t>
  </si>
  <si>
    <t>Vera Regina Mazzini Braga Coimbra</t>
  </si>
  <si>
    <t>Verni Kitzmann Wehrmann</t>
  </si>
  <si>
    <t>Vertice Design Eireli</t>
  </si>
  <si>
    <t>Vitor Perige Almeida Diniz</t>
  </si>
  <si>
    <t>Vitor Xavier de Oliveira Neto</t>
  </si>
  <si>
    <t>Washington José Lima Candido</t>
  </si>
  <si>
    <t>Wellington Mendonca dos Santos</t>
  </si>
  <si>
    <t>Willians Rapchan Benito</t>
  </si>
  <si>
    <t>Yana Coelho Pires</t>
  </si>
  <si>
    <t>Guilherme Marquez</t>
  </si>
  <si>
    <t>Valor</t>
  </si>
  <si>
    <t>Leandro</t>
  </si>
  <si>
    <t>F</t>
  </si>
  <si>
    <t>Total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</si>
  <si>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</si>
  <si>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</si>
  <si>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</si>
  <si>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</si>
  <si>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</si>
  <si>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</si>
  <si>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</si>
  <si>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</si>
  <si>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</si>
  <si>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</si>
  <si>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</si>
  <si>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</si>
  <si>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</si>
  <si>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</si>
  <si>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</si>
  <si>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</si>
  <si>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</si>
  <si>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</si>
  <si>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</si>
  <si>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</si>
  <si>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</si>
  <si>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</si>
  <si>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</si>
  <si>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</si>
  <si>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</si>
  <si>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</si>
  <si>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</si>
  <si>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</si>
  <si>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</si>
  <si>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</si>
  <si>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</si>
  <si>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</si>
  <si>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</si>
  <si>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</si>
  <si>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</si>
  <si>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</si>
  <si>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</si>
  <si>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</si>
  <si>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</si>
  <si>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</si>
  <si>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</si>
  <si>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</si>
  <si>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</si>
  <si>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</si>
  <si>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</si>
  <si>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</si>
  <si>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</si>
  <si>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</si>
  <si>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</si>
  <si>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</si>
  <si>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</si>
  <si>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</si>
  <si>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</si>
  <si>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</si>
  <si>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</si>
  <si>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</si>
  <si>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</si>
  <si>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</si>
  <si>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</si>
  <si>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</si>
  <si>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</si>
  <si>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</si>
  <si>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</si>
  <si>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</si>
  <si>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</si>
  <si>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</si>
  <si>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</si>
  <si>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</si>
  <si>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</si>
  <si>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</si>
  <si>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</si>
  <si>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</si>
  <si>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</si>
  <si>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</si>
  <si>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</si>
  <si>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</si>
  <si>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</si>
  <si>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</si>
  <si>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</si>
  <si>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</si>
  <si>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</si>
  <si>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</si>
  <si>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</si>
  <si>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</si>
  <si>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</si>
  <si>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</si>
  <si>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</si>
  <si>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</si>
  <si>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</si>
  <si>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</si>
  <si>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</si>
  <si>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</si>
  <si>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</si>
  <si>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</si>
  <si>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</si>
  <si>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</si>
  <si>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</si>
  <si>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</si>
  <si>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</si>
  <si>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</si>
  <si>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</si>
  <si>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</si>
  <si>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</si>
  <si>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</si>
  <si>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</si>
  <si>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</si>
  <si>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</si>
  <si>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</si>
  <si>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</si>
  <si>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</si>
  <si>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</si>
  <si>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</si>
  <si>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</si>
  <si>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</si>
  <si>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</si>
  <si>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</si>
  <si>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</si>
  <si>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</si>
  <si>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</si>
  <si>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</si>
  <si>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</si>
  <si>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</si>
  <si>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</si>
  <si>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</si>
  <si>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</si>
  <si>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</si>
  <si>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</si>
  <si>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</si>
  <si>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</si>
  <si>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</si>
  <si>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</si>
  <si>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</si>
  <si>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</si>
  <si>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</si>
  <si>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</si>
  <si>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</si>
  <si>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</si>
  <si>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</si>
  <si>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</si>
  <si>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</si>
  <si>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</si>
  <si>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</si>
  <si>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</si>
  <si>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</si>
  <si>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</si>
  <si>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</si>
  <si>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</si>
  <si>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</si>
  <si>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</si>
  <si>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</si>
  <si>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</si>
  <si>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</si>
  <si>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</si>
  <si>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</si>
  <si>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</si>
  <si>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</si>
  <si>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</si>
  <si>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</si>
  <si>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</si>
  <si>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</si>
  <si>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</si>
  <si>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</si>
  <si>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</si>
  <si>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</si>
  <si>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</si>
  <si>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</si>
  <si>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</si>
  <si>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</si>
  <si>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</si>
  <si>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</si>
  <si>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</si>
  <si>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</si>
  <si>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</si>
  <si>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</si>
  <si>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</si>
  <si>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</si>
  <si>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</si>
  <si>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</si>
  <si>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</si>
  <si>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</si>
  <si>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</si>
  <si>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</si>
  <si>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</si>
  <si>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</si>
  <si>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</si>
  <si>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</si>
  <si>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</si>
  <si>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</si>
  <si>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</si>
  <si>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</si>
  <si>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</si>
  <si>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</si>
  <si>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</si>
  <si>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</si>
  <si>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</si>
  <si>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</si>
  <si>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</si>
  <si>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</si>
  <si>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</si>
  <si>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</si>
  <si>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</si>
  <si>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</si>
  <si>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</si>
  <si>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</si>
  <si>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</si>
  <si>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</si>
  <si>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</si>
  <si>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</si>
  <si>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</si>
  <si>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</si>
  <si>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</si>
  <si>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</si>
  <si>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</si>
  <si>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</si>
  <si>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</si>
  <si>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</si>
  <si>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</si>
  <si>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</si>
  <si>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</si>
  <si>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</si>
  <si>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</si>
  <si>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</si>
  <si>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</si>
  <si>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</si>
  <si>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</si>
  <si>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</si>
  <si>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</si>
  <si>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</si>
  <si>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</si>
  <si>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</si>
  <si>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</si>
  <si>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</si>
  <si>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</si>
  <si>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</si>
  <si>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</si>
  <si>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</si>
  <si>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</si>
  <si>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</si>
  <si>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</si>
  <si>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</si>
  <si>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</si>
  <si>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</si>
  <si>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</si>
  <si>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</si>
  <si>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</si>
  <si>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</si>
  <si>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</si>
  <si>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</si>
  <si>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</si>
  <si>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</si>
  <si>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</si>
  <si>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</si>
  <si>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</si>
  <si>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</si>
  <si>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</si>
  <si>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</si>
  <si>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</si>
  <si>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</si>
  <si>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</si>
  <si>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</si>
  <si>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</si>
  <si>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</si>
  <si>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</si>
  <si>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</si>
  <si>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</si>
  <si>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</si>
  <si>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</si>
  <si>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</si>
  <si>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</si>
  <si>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</si>
  <si>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</si>
  <si>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</si>
  <si>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</si>
  <si>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</si>
  <si>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</si>
  <si>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</si>
  <si>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</si>
  <si>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</si>
  <si>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</si>
  <si>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</si>
  <si>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</si>
  <si>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</si>
  <si>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</si>
  <si>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</si>
  <si>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</si>
  <si>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</si>
  <si>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</si>
  <si>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</si>
  <si>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</si>
  <si>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</si>
  <si>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</si>
  <si>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</si>
  <si>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</si>
  <si>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</si>
  <si>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</si>
  <si>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</si>
  <si>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</si>
  <si>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</si>
  <si>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</si>
  <si>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</si>
  <si>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</si>
  <si>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</si>
  <si>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</si>
  <si>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</si>
  <si>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</si>
  <si>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</si>
  <si>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</si>
  <si>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</si>
  <si>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</si>
  <si>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</si>
  <si>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</si>
  <si>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</si>
  <si>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</si>
  <si>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</si>
  <si>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</si>
  <si>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</si>
  <si>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</si>
  <si>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</si>
  <si>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</si>
  <si>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</si>
  <si>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</si>
  <si>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</si>
  <si>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</si>
  <si>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</si>
  <si>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</si>
  <si>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</si>
  <si>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</si>
  <si>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</si>
  <si>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</si>
  <si>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</si>
  <si>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</si>
  <si>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</si>
  <si>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</si>
  <si>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</si>
  <si>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</si>
  <si>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</si>
  <si>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</si>
  <si>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</si>
  <si>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</si>
  <si>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</si>
  <si>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</si>
  <si>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</si>
  <si>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</si>
  <si>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</si>
  <si>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</si>
  <si>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</si>
  <si>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</si>
  <si>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</si>
  <si>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</si>
  <si>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</si>
  <si>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</si>
  <si>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</si>
  <si>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</si>
  <si>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</si>
  <si>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</si>
  <si>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</si>
  <si>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</si>
  <si>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</si>
  <si>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</si>
  <si>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</si>
  <si>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</si>
  <si>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</si>
  <si>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</si>
  <si>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</si>
  <si>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</si>
  <si>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</si>
  <si>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</si>
  <si>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</si>
  <si>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</si>
  <si>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</si>
  <si>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</si>
  <si>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</si>
  <si>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</si>
  <si>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</si>
  <si>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</si>
  <si>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</si>
  <si>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</si>
  <si>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</si>
  <si>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</si>
  <si>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</si>
  <si>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</si>
  <si>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</si>
  <si>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</si>
  <si>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</si>
  <si>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</si>
  <si>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</si>
  <si>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</si>
  <si>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</si>
  <si>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</si>
  <si>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</si>
  <si>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</si>
  <si>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</si>
  <si>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</si>
  <si>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</si>
  <si>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</si>
  <si>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</si>
  <si>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</si>
  <si>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</si>
  <si>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</si>
  <si>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</si>
  <si>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</si>
  <si>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</si>
  <si>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</si>
  <si>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</si>
  <si>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</si>
  <si>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</si>
  <si>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</si>
  <si>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</si>
  <si>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</si>
  <si>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</si>
  <si>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</si>
  <si>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</si>
  <si>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</si>
  <si>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</si>
  <si>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</si>
  <si>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</si>
  <si>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</si>
  <si>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</si>
  <si>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</si>
  <si>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</si>
  <si>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</si>
  <si>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</si>
  <si>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</si>
  <si>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</si>
  <si>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</si>
  <si>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</si>
  <si>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</si>
  <si>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</si>
  <si>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</si>
  <si>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</si>
  <si>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</si>
  <si>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</si>
  <si>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</si>
  <si>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</si>
  <si>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</si>
  <si>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</si>
  <si>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</si>
  <si>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</si>
  <si>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</si>
  <si>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</si>
  <si>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</si>
  <si>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</si>
  <si>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</si>
  <si>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</si>
  <si>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</si>
  <si>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</si>
  <si>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</si>
  <si>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</si>
  <si>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</si>
  <si>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</si>
  <si>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</si>
  <si>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</si>
  <si>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</si>
  <si>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</si>
  <si>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</si>
  <si>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</si>
  <si>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</si>
  <si>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</si>
  <si>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</si>
  <si>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</si>
  <si>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</si>
  <si>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</si>
  <si>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</si>
  <si>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</si>
  <si>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</si>
  <si>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</si>
  <si>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</si>
  <si>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</si>
  <si>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</si>
  <si>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</si>
  <si>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</si>
  <si>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</si>
  <si>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</si>
  <si>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</si>
  <si>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</si>
  <si>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</si>
  <si>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</si>
  <si>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</si>
  <si>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</si>
  <si>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</si>
  <si>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</si>
  <si>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</si>
  <si>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</si>
  <si>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</si>
  <si>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</si>
  <si>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</si>
  <si>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</si>
  <si>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</si>
  <si>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</si>
  <si>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</si>
  <si>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</si>
  <si>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</si>
  <si>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</si>
  <si>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</si>
  <si>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</si>
  <si>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</si>
  <si>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</si>
  <si>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</si>
  <si>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</si>
  <si>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</si>
  <si>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</si>
  <si>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</si>
  <si>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</si>
  <si>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</si>
  <si>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</si>
  <si>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</si>
  <si>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</si>
  <si>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</si>
  <si>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</si>
  <si>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</si>
  <si>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</si>
  <si>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</si>
  <si>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</si>
  <si>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</si>
  <si>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</si>
  <si>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</si>
  <si>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</si>
  <si>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</si>
  <si>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</si>
  <si>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</si>
  <si>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</si>
  <si>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</si>
  <si>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</si>
  <si>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</si>
  <si>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</si>
  <si>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</si>
  <si>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</si>
  <si>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</si>
  <si>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</si>
  <si>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</si>
  <si>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</si>
  <si>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</si>
  <si>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</si>
  <si>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</si>
  <si>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</si>
  <si>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</si>
  <si>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</si>
  <si>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</si>
  <si>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</si>
  <si>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</si>
  <si>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</si>
  <si>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</si>
  <si>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</si>
  <si>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</si>
  <si>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</si>
  <si>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</si>
  <si>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</si>
  <si>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</si>
  <si>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</si>
  <si>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</si>
  <si>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</si>
  <si>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</si>
  <si>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</si>
  <si>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</si>
  <si>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</si>
  <si>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</si>
  <si>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</si>
  <si>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</si>
  <si>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</si>
  <si>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</si>
  <si>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</si>
  <si>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</si>
  <si>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</si>
  <si>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</si>
  <si>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</si>
  <si>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</si>
  <si>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</si>
  <si>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</si>
  <si>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</si>
  <si>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</si>
  <si>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</si>
  <si>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</si>
  <si>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</si>
  <si>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</si>
  <si>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</si>
  <si>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</si>
  <si>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</si>
  <si>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</si>
  <si>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</si>
  <si>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</si>
  <si>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</si>
  <si>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</si>
  <si>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</si>
  <si>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</si>
  <si>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</si>
  <si>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</si>
  <si>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</si>
  <si>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</si>
  <si>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</si>
  <si>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</si>
  <si>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</si>
  <si>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</si>
  <si>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</si>
  <si>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</si>
  <si>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</si>
  <si>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</si>
  <si>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</si>
  <si>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</si>
  <si>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</si>
  <si>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</si>
  <si>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</si>
  <si>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</si>
  <si>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</si>
  <si>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</si>
  <si>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</si>
  <si>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</si>
  <si>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</si>
  <si>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</si>
  <si>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</si>
  <si>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</si>
  <si>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</si>
  <si>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</si>
  <si>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</si>
  <si>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</si>
  <si>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</si>
  <si>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</si>
  <si>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</si>
  <si>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</si>
  <si>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</si>
  <si>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</si>
  <si>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</si>
  <si>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</si>
  <si>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</si>
  <si>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</si>
  <si>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</si>
  <si>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</si>
  <si>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</si>
  <si>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</si>
  <si>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</si>
  <si>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</si>
  <si>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</si>
  <si>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</si>
  <si>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</si>
  <si>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</si>
  <si>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</si>
  <si>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</si>
  <si>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</si>
  <si>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</si>
  <si>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</si>
  <si>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</si>
  <si>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</si>
  <si>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</si>
  <si>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</si>
  <si>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</si>
  <si>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</si>
  <si>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</si>
  <si>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</si>
  <si>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</si>
  <si>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</si>
  <si>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</si>
  <si>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</si>
  <si>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</si>
  <si>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</si>
  <si>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</si>
  <si>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</si>
  <si>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</si>
  <si>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</si>
  <si>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</si>
  <si>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</si>
  <si>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</si>
  <si>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</si>
  <si>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</si>
  <si>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</si>
  <si>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</si>
  <si>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</si>
  <si>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</si>
  <si>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</si>
  <si>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</si>
  <si>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</si>
  <si>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</si>
  <si>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</si>
  <si>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</si>
  <si>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</si>
  <si>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</si>
  <si>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</si>
  <si>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</si>
  <si>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</si>
  <si>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</si>
  <si>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</si>
  <si>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</si>
  <si>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</si>
  <si>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</si>
  <si>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</si>
  <si>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</si>
  <si>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</si>
  <si>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</si>
  <si>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</si>
  <si>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</si>
  <si>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</si>
  <si>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</si>
  <si>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</si>
  <si>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</si>
  <si>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</si>
  <si>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</si>
  <si>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</si>
  <si>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</si>
  <si>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</si>
  <si>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</si>
  <si>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</si>
  <si>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</si>
  <si>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</si>
  <si>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</si>
  <si>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</si>
  <si>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</si>
  <si>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</si>
  <si>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</si>
  <si>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</si>
  <si>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</si>
  <si>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</si>
  <si>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</si>
  <si>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</si>
  <si>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</si>
  <si>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</si>
  <si>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</si>
  <si>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</si>
  <si>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</si>
  <si>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</si>
  <si>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</si>
  <si>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</si>
  <si>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</si>
  <si>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</si>
  <si>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</si>
  <si>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</si>
  <si>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</si>
  <si>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</si>
  <si>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</si>
  <si>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</si>
  <si>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</si>
  <si>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</si>
  <si>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</si>
  <si>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</si>
  <si>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</si>
  <si>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</si>
  <si>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</si>
  <si>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</si>
  <si>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</si>
  <si>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</si>
  <si>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</si>
  <si>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</si>
  <si>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</si>
  <si>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</si>
  <si>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</si>
  <si>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</si>
  <si>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</si>
  <si>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</si>
  <si>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</si>
  <si>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</si>
  <si>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</si>
  <si>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</si>
  <si>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</si>
  <si>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</si>
  <si>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</si>
  <si>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</si>
  <si>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</si>
  <si>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</si>
  <si>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</si>
  <si>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</si>
  <si>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</si>
  <si>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</si>
  <si>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</si>
  <si>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</si>
  <si>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</si>
  <si>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</si>
  <si>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</si>
  <si>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</si>
  <si>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</si>
  <si>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</si>
  <si>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</si>
  <si>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</si>
  <si>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</si>
  <si>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</si>
  <si>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</si>
  <si>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</si>
  <si>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</si>
  <si>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</si>
  <si>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</si>
  <si>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</si>
  <si>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</si>
  <si>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</si>
  <si>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</si>
  <si>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</si>
  <si>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</si>
  <si>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</si>
  <si>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</si>
  <si>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</si>
  <si>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</si>
  <si>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</si>
  <si>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</si>
  <si>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</si>
  <si>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</si>
  <si>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</si>
  <si>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</si>
  <si>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</si>
  <si>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</si>
  <si>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</si>
  <si>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</si>
  <si>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</si>
  <si>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</si>
  <si>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</si>
  <si>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</si>
  <si>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</si>
  <si>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</si>
  <si>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</si>
  <si>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</si>
  <si>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</si>
  <si>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</si>
  <si>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</si>
  <si>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</si>
  <si>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</si>
  <si>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</si>
  <si>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</si>
  <si>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</si>
  <si>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</si>
  <si>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</si>
  <si>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</si>
  <si>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</si>
  <si>
    <t>Consultor</t>
  </si>
  <si>
    <t>Início da Conta</t>
  </si>
  <si>
    <t>Target Carteira</t>
  </si>
  <si>
    <t>Liquidez</t>
  </si>
  <si>
    <t>Fee.</t>
  </si>
  <si>
    <t>NÃO</t>
  </si>
  <si>
    <t xml:space="preserve">Resgates Recorrentes </t>
  </si>
  <si>
    <t>Grupo Geral</t>
  </si>
  <si>
    <t>Possui Crédito</t>
  </si>
  <si>
    <t>Calculadora de IR</t>
  </si>
  <si>
    <t>ABRAO MIGUEL ARABE NETO</t>
  </si>
  <si>
    <t>BRUNA DA SILVA KUSUMOTO</t>
  </si>
  <si>
    <t>CAIO CESAR LEMOS FONSECA</t>
  </si>
  <si>
    <t>Celso Griesang</t>
  </si>
  <si>
    <t>Celso Griesang - Condomínio Rural</t>
  </si>
  <si>
    <t>CINTIA PRADO VARGAS DENSER</t>
  </si>
  <si>
    <t>DANIEL MARTELETO GODINHO</t>
  </si>
  <si>
    <t>DANIELA RIBEIRO</t>
  </si>
  <si>
    <t>ELIANE CARNEIRO DE MELO RESENDE</t>
  </si>
  <si>
    <t>FÁBIO E MARIANA</t>
  </si>
  <si>
    <t>FABRICIO FRANCO NAVES</t>
  </si>
  <si>
    <t>FAMÍLIA CARNEIRO</t>
  </si>
  <si>
    <t>FERNANDA ALMENARA CARDOSO ENCINAS</t>
  </si>
  <si>
    <t>FERNANDA LIO ROCHA CAMARGO</t>
  </si>
  <si>
    <t>FERNANDO FERREIRA DA SILVA PARRO</t>
  </si>
  <si>
    <t>FILIPE RIBEIRO QUEIROZ DOS SANTOS</t>
  </si>
  <si>
    <t>Fronteira Agrongocios LTDA</t>
  </si>
  <si>
    <t>GRUPO BOTUVERÁ</t>
  </si>
  <si>
    <t>HUGO CARNEIRO DE RESENDE</t>
  </si>
  <si>
    <t>JACKSON TAVORA</t>
  </si>
  <si>
    <t>JOANA DARQUE FORMAGE SCHMIDT</t>
  </si>
  <si>
    <t>JOSÉ LUIZ  LOPES TEIXEIRA FILHO</t>
  </si>
  <si>
    <t>LUCAS CARNEIRO DE RESENDE</t>
  </si>
  <si>
    <t>LUCAS RONA SOARES</t>
  </si>
  <si>
    <t>LUCIENNE LIO ROCHA CAMARGO</t>
  </si>
  <si>
    <t>LUIZ CARLOS TOMÉ</t>
  </si>
  <si>
    <t>LUIZ ROBERTO CARRARA LELIS</t>
  </si>
  <si>
    <t>M WEALTH</t>
  </si>
  <si>
    <t>MARCOS JOSÉ CORREA CAMARGO</t>
  </si>
  <si>
    <t>MARIA CECILIA DIAS DE MELLO FLORES</t>
  </si>
  <si>
    <t>MARLON BRANDO BEZERRA DE ALMEIDA</t>
  </si>
  <si>
    <t>MATHEO FALEIRO AIZA </t>
  </si>
  <si>
    <t>MELISSA FALEIRO AIZA</t>
  </si>
  <si>
    <t>NELSON JÚLIO BALESTRO JUNIOR</t>
  </si>
  <si>
    <t>PEDRO HENRIQUE SILVA PIMENTA</t>
  </si>
  <si>
    <t>RACHELE FERREIRA ROSMO</t>
  </si>
  <si>
    <t>RAFAEL MARIEIRO NAVES</t>
  </si>
  <si>
    <t>RAPHAEL ALVES FERREIRA TOME</t>
  </si>
  <si>
    <t>RAQUEL GRIESANG</t>
  </si>
  <si>
    <t>RODRIGO ALEXANDRE DE DEUS DOMINGUES</t>
  </si>
  <si>
    <t>RODRIGO CARDOSO UCHOA</t>
  </si>
  <si>
    <t>ROMULO ROMANO SALLES</t>
  </si>
  <si>
    <t>TAMARA CRISTINA FORMAGE SCHMIDT</t>
  </si>
  <si>
    <t>TATIANA LARA FORMAGE SCHMIDT</t>
  </si>
  <si>
    <t>TATYANA JOFFILY LEUMAN FALEIRO</t>
  </si>
  <si>
    <t>TERESINHA GOMES DA SILVA</t>
  </si>
  <si>
    <t>THIAGO OLIVEIRA CORREA</t>
  </si>
  <si>
    <t>TOMÁS CORTES BARTHOLO</t>
  </si>
  <si>
    <t>TRISSIA DE MORAES LELIS</t>
  </si>
  <si>
    <t>VINICIUS E PRISCILLA</t>
  </si>
  <si>
    <t>VIRGILIO BULLO ROCHA</t>
  </si>
  <si>
    <t>ABR INVESTMENTS LTD</t>
  </si>
  <si>
    <t>CELSO GRIESANG</t>
  </si>
  <si>
    <t>CELSO GRIESANG (CONDOMÍNIO RURAL)</t>
  </si>
  <si>
    <t>CINTIA PRADO VARGAS DENSER (CNR Light)</t>
  </si>
  <si>
    <t>DANIEL MARTELETO GODINHO &amp;</t>
  </si>
  <si>
    <t>DANIELA RIBEIRO QUEIROZ DOS SANTOS</t>
  </si>
  <si>
    <t>MARIANA GUIMARAES DE BATTISTA</t>
  </si>
  <si>
    <t>MARIANA GUIMARAES DE BATTISTA E/OU FABIO MEGID PINTO</t>
  </si>
  <si>
    <t>FABIO MEGID PINTO</t>
  </si>
  <si>
    <t>GREEN ARCARDIA LTD</t>
  </si>
  <si>
    <t>ALICE DAIA NAVES</t>
  </si>
  <si>
    <t>HUGO &amp; L CARNEIRO D RESENDE, &amp;</t>
  </si>
  <si>
    <t>F ALMENARA CARDOSO ENCINAS</t>
  </si>
  <si>
    <t>FRONTEIRA AGRONEGOCIOS LTDA</t>
  </si>
  <si>
    <t>IRINEU AFONSO BRAGAGNOLO</t>
  </si>
  <si>
    <t>ADRIANO BISSONI</t>
  </si>
  <si>
    <t>VICENTE BISSONI NETO</t>
  </si>
  <si>
    <t>TRANSPORTES BOTUVERA LTDA</t>
  </si>
  <si>
    <t>DEISE CRISTINA BISSONI SACHETTI</t>
  </si>
  <si>
    <t>TWILL INVESTMENTS LIMITED</t>
  </si>
  <si>
    <t>JOSE LUIZ LOPES TEIXEIRA FILHO</t>
  </si>
  <si>
    <t>LUIZ CARLOS TOME</t>
  </si>
  <si>
    <t>TOME'S CORP</t>
  </si>
  <si>
    <t>LUIZ CARLOS TOME &amp;</t>
  </si>
  <si>
    <t>LFTJD LTD</t>
  </si>
  <si>
    <t>MAWAY LLC LLC</t>
  </si>
  <si>
    <t>M2WM MFO SERVICOS ADMINISTRATIVOS LTDA</t>
  </si>
  <si>
    <t>MARCOS JOSE CORREA CAMARGO</t>
  </si>
  <si>
    <t>EXPONENTIAL OVERSEAS INVESTMEN</t>
  </si>
  <si>
    <t>M DIAS DE MELLO FLORES</t>
  </si>
  <si>
    <t>NELSON JULIO BALESTRO JUNIOR</t>
  </si>
  <si>
    <t>MNSB LTD</t>
  </si>
  <si>
    <t>NELSON JULIO BALESTRO JUNIOR &amp;</t>
  </si>
  <si>
    <t>GAFANHA CAPITAL LTD</t>
  </si>
  <si>
    <t>R DOMINGUES</t>
  </si>
  <si>
    <t>RCURDB INTERNATIONAL LTD</t>
  </si>
  <si>
    <t>SRS BUSINESS LTD</t>
  </si>
  <si>
    <t>VANESSA ANDRADE ROMANO SALLES</t>
  </si>
  <si>
    <t>T CRISTINA FORMAGE SCHMIDT &amp;</t>
  </si>
  <si>
    <t xml:space="preserve">TOMAS CORTES BARTHOLO </t>
  </si>
  <si>
    <t>PRISCILLA DINIZ CORREA</t>
  </si>
  <si>
    <t>Tipo de Marcação</t>
  </si>
  <si>
    <t>PF</t>
  </si>
  <si>
    <t>PJ</t>
  </si>
  <si>
    <t/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</si>
  <si>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</si>
  <si>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</si>
  <si>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</si>
  <si>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</si>
  <si>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</si>
  <si>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</si>
  <si>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</si>
  <si>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</si>
  <si>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</si>
  <si>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</si>
  <si>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</si>
  <si>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</si>
  <si>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</si>
  <si>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</si>
  <si>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</si>
  <si>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</si>
  <si>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Consolidador</t>
  </si>
  <si>
    <t>Rosimeire Faustino Da Silva Kusomoto</t>
  </si>
  <si>
    <t>ISABELA KASSIS MENDONCA</t>
  </si>
  <si>
    <t>ROSE MERI BISSONI</t>
  </si>
  <si>
    <t>IOLIVAN JOSE DE BRITO</t>
  </si>
  <si>
    <t>DANIEL DE MORAES LELIS</t>
  </si>
  <si>
    <t>CANAA AGRONEGOCIOS LTDA</t>
  </si>
  <si>
    <t>DANIELLE SOLETTI SARTORI BISSONI</t>
  </si>
  <si>
    <t>MONICA WENDT</t>
  </si>
  <si>
    <t>DREAMERS BRA LLC</t>
  </si>
  <si>
    <t>SAFRA</t>
  </si>
  <si>
    <t>LELIS EMPREENDIMENTOS E LOTEAMENTOS IMOBILIARIOS LTDA</t>
  </si>
  <si>
    <t>RVS PARTICIPACOES LTDA</t>
  </si>
  <si>
    <t>BRITO GESTAO E COORDENACAO DE CLINICAS LTDA</t>
  </si>
  <si>
    <t>IOLIVAN JOSE DE BRITO &amp;</t>
  </si>
  <si>
    <t>M2wm</t>
  </si>
  <si>
    <t>Cliente - Corretora</t>
  </si>
  <si>
    <t>ABRAO MIGUEL ARABE NETO - XP</t>
  </si>
  <si>
    <t>Rosimeire Faustino Da Silva Kusomoto - CS</t>
  </si>
  <si>
    <t>BRUNA DA SILVA KUSUMOTO - CS</t>
  </si>
  <si>
    <t>CAIO CESAR LEMOS FONSECA - XP</t>
  </si>
  <si>
    <t>CELSO GRIESANGE - XP</t>
  </si>
  <si>
    <t>CELSO GRIESANG - CONDOMÍNIO RURAL - XP</t>
  </si>
  <si>
    <t>CELSO GRIESANG - CONDOMÍNIO RURAL - CS</t>
  </si>
  <si>
    <t>CINTIA PRADO VARGAS DENSER (CNR Light) - BTG</t>
  </si>
  <si>
    <t>CINTIA PRADO VARGAS DENSER - CS</t>
  </si>
  <si>
    <t>DANIEL MARTELETO GODINHO - CS</t>
  </si>
  <si>
    <t>DANIELA RIBEIRO QUEIROZ DOS SANTOS - XP</t>
  </si>
  <si>
    <t>ELIANE CARNEIRO DE MELO RESENDE - XP</t>
  </si>
  <si>
    <t>MARIANA GUIMARAES DE BATISTA - XP</t>
  </si>
  <si>
    <t>FÁBIO E MARIANA- BTG</t>
  </si>
  <si>
    <t>FABIO MEGID PINTO - XP</t>
  </si>
  <si>
    <t>FABIO MEGID PINTO - CS</t>
  </si>
  <si>
    <t>MARIANA GUIMARAES DE BATTISTA - BTG</t>
  </si>
  <si>
    <t>FABRICIO FRANCO NAVES- XP</t>
  </si>
  <si>
    <t>FABRICIO FRANCO NAVES - BTG</t>
  </si>
  <si>
    <t>ALICE DAIA NAVES - BTG</t>
  </si>
  <si>
    <t>FAMÍLIA CARNEIRO DE  RESENDE ELIANE - XP</t>
  </si>
  <si>
    <t>FAMÍLIA CARNEIRO DE  RESENDE HUGO - XP</t>
  </si>
  <si>
    <t>FAMÍLIA CARNEIRO DE  RESENDE LUCAS - XP</t>
  </si>
  <si>
    <t>FAMÍLIA CARNEIRO DE  RESENDE - CS</t>
  </si>
  <si>
    <t>FERNANDA ALMENARA CARDOSO ENCINAS - XP</t>
  </si>
  <si>
    <t>FERNANDA ALMENARA CARDOSO ENCINAS - CS</t>
  </si>
  <si>
    <t>FERNANDA LIO ROCHA CAMARGO - XP</t>
  </si>
  <si>
    <t>FERNANDO FERREIRA DA SILVA PARRO - XP</t>
  </si>
  <si>
    <t>FILIPE RIBEIRO QUEIROZ DOS SANTOS - XP</t>
  </si>
  <si>
    <t>FRONTEIRA AGRONGOCIOS LTDA- XP</t>
  </si>
  <si>
    <t>IRINEU AFONSO BRAGAGNOLO - XP</t>
  </si>
  <si>
    <t>ADRIANO BISSONI - XP</t>
  </si>
  <si>
    <t>VICENTE BISSONI NETO - XP</t>
  </si>
  <si>
    <t>TRANSPORTES BOTUVERA LTDA - XP</t>
  </si>
  <si>
    <t>DEISE CRISTINA BISSONI SACHETTI - XP</t>
  </si>
  <si>
    <t>HUGO CARNEIRO DE RESENDE - XP</t>
  </si>
  <si>
    <t>JACKSON TAVORA - XP</t>
  </si>
  <si>
    <t>JOANA DARQUE FORMAGE SCHMIDT - XP</t>
  </si>
  <si>
    <t>JOANA DARQUE FORMAGE SCHMIDT - CS</t>
  </si>
  <si>
    <t>JOSÉ LUIZ  LOPES TEIXEIRA FILHO - XP</t>
  </si>
  <si>
    <t>LUCAS CARNEIRO DE RESENDE - XP</t>
  </si>
  <si>
    <t>LUCAS RONA SOARES- XP</t>
  </si>
  <si>
    <t>LUCAS RONA SOARES - BTG</t>
  </si>
  <si>
    <t>LUCAS RONA SOARES - CS</t>
  </si>
  <si>
    <t>LUCIENNE LIO ROCHA CAMARGO - XP</t>
  </si>
  <si>
    <t>LUIZ CARLOS TOMÉ- XP</t>
  </si>
  <si>
    <t>LUIZ CARLOS TOME - CS</t>
  </si>
  <si>
    <t>LUIZ ROBERTO CARRARA LELIS - XP</t>
  </si>
  <si>
    <t>LUIZ ROBERTO CARRARA LELIS - XP2</t>
  </si>
  <si>
    <t>LUIZ ROBERTO CARRARA LELIS - CS</t>
  </si>
  <si>
    <t>LUIZ ROBERTO CARRARA LELIS - BTG</t>
  </si>
  <si>
    <t>MAWAY LLC - CS</t>
  </si>
  <si>
    <t>M WEALTH - XP</t>
  </si>
  <si>
    <t>MARCOS JOSÉ CORREA CAMARGO - BTG</t>
  </si>
  <si>
    <t>MARCOS JOSÉ CORREA CAMARGO- XP</t>
  </si>
  <si>
    <t>MARIA CECILIA DIAS DE MELLO FLORES - XP</t>
  </si>
  <si>
    <t>MARIA CECILIA DIAS DE MELLO FLORES - CS</t>
  </si>
  <si>
    <t>MARLON BRANDO BEZERRA DE ALMEIDA - XP</t>
  </si>
  <si>
    <t>MARLON BRANDO BEZERRA DE ALMEIDA - SAFRA</t>
  </si>
  <si>
    <t>MATHEO FALEIRO AIZA - BTG</t>
  </si>
  <si>
    <t>MELISSA FALEIRO AIZA - BTG</t>
  </si>
  <si>
    <t>NELSON JÚLIO BALESTRO JUNIOR - XP</t>
  </si>
  <si>
    <t>NELSON JULIO BALESTRO JUNIOR - CS</t>
  </si>
  <si>
    <t>PEDRO HENRIQUE SILVA PIMENTA - BTG</t>
  </si>
  <si>
    <t>RACHELE FERREIRA ROSMO - XP</t>
  </si>
  <si>
    <t>RAFAEL MARIEIRO NAVES - CS</t>
  </si>
  <si>
    <t>RAPHAEL ALVES FERREIRA TOME - XP</t>
  </si>
  <si>
    <t>RAPHAEL ALVES FERREIRA TOME - CS</t>
  </si>
  <si>
    <t>RAQUEL GRIESANGE - XP</t>
  </si>
  <si>
    <t>RODRIGO ALEXANDRE DE DEUS DOMINGUES - XP</t>
  </si>
  <si>
    <t>RODRIGO ALEXANDRE DE DEUS DOMINGUES -CS</t>
  </si>
  <si>
    <t>RODRIGO CARDOSO UCHOA- XP</t>
  </si>
  <si>
    <t>RODRIGO CARDOSO UCHOA - CS</t>
  </si>
  <si>
    <t>ROMULO ROMANO SALLES - CS</t>
  </si>
  <si>
    <t>ROMULO ROMANO SALLES - BTG</t>
  </si>
  <si>
    <t>RÔMULO ROMANO SALLES- XP</t>
  </si>
  <si>
    <t>TAMARA CRISTINA FORMAGE SCHMIDT - XP</t>
  </si>
  <si>
    <t>TAMARA CRISTINA FORMAGE SCHMIDT - CS</t>
  </si>
  <si>
    <t>TATIANA LARA FORMAGE SCHMIDT - XP</t>
  </si>
  <si>
    <t>TATYANA JOFFILY LEUMAN FALEIRO -BTG</t>
  </si>
  <si>
    <t>TERESINHA GOMES DA SILVA - XP</t>
  </si>
  <si>
    <t>THIAGO OLIVEIRA CORREA- XP</t>
  </si>
  <si>
    <t>THIAGO OLIVEIRA CORREA - CS</t>
  </si>
  <si>
    <t>TOMÁS CORTES BARTHOLO- XP</t>
  </si>
  <si>
    <t>TRISSIA DE MORAES LELIS - XP</t>
  </si>
  <si>
    <t>PRISCILLA DINIZ CORREA - BTG</t>
  </si>
  <si>
    <t>PRISCILLA DINIZ CORRÊA- XP</t>
  </si>
  <si>
    <t>PRISCILLA DINIZ CORREA - CS</t>
  </si>
  <si>
    <t>VIRGILIO BULLO ROCHA- XP</t>
  </si>
  <si>
    <t>ISABELA KASSIS MENDONCA - XP</t>
  </si>
  <si>
    <t>ROSE MERI BISSONI - XP</t>
  </si>
  <si>
    <t>IOLIVAN JOSE DE BRITO - XP</t>
  </si>
  <si>
    <t>IOLIVAN JOSE DE BRITO - BTG</t>
  </si>
  <si>
    <t>DANIEL DE MORAES LELIS - BTG</t>
  </si>
  <si>
    <t>VANESSA ANDRADE ROMANO SALLES - XP</t>
  </si>
  <si>
    <t>CANAA AGRONEGOCIOS LTDA - BTG</t>
  </si>
  <si>
    <t>LELIS EMPREENDIMENTOS E LOTEAMENTOS IMOBILIARIOS LTDA - BTG</t>
  </si>
  <si>
    <t>RVS PARTICIPACOES LTDA - BTG</t>
  </si>
  <si>
    <t>DANIELLE SOLETTI SARTORI BISSONI - XP</t>
  </si>
  <si>
    <t>BRITO GESTAO E COORDENACAO DE CLINICAS LTDA -  XP</t>
  </si>
  <si>
    <t>MONICA WENDT - XP</t>
  </si>
  <si>
    <t>IOLIVAN JOSE DE BRITO &amp; - CS</t>
  </si>
  <si>
    <t>DREAMERS BRA LLC - CS</t>
  </si>
  <si>
    <t>RACHELE FERREIRA ROSMO - CS</t>
  </si>
  <si>
    <t>M WEALTH - BTG</t>
  </si>
  <si>
    <t>MERCADO</t>
  </si>
  <si>
    <t>CURVA</t>
  </si>
  <si>
    <t>Moderado Renda Construção</t>
  </si>
  <si>
    <t>Moderado Renda Usufruto</t>
  </si>
  <si>
    <t>Conservador Renda Usufruto</t>
  </si>
  <si>
    <t>Arrojado Renda Construção</t>
  </si>
  <si>
    <t>Moderado</t>
  </si>
  <si>
    <t>Ultraconservador</t>
  </si>
  <si>
    <t>Conservador Renda Construção</t>
  </si>
  <si>
    <t>Arrojado Renda Usufruto</t>
  </si>
  <si>
    <t>Perfil de Investidor</t>
  </si>
  <si>
    <t>Perfil Carteira/ Renda</t>
  </si>
  <si>
    <t>Canal</t>
  </si>
  <si>
    <t> 1.177.994,77</t>
  </si>
  <si>
    <t> 210.339,39</t>
  </si>
  <si>
    <t> 5.188.652,90</t>
  </si>
  <si>
    <t>Thiago Silva</t>
  </si>
  <si>
    <t>Julio Serodio</t>
  </si>
  <si>
    <t>Wealth</t>
  </si>
  <si>
    <t>Tesouraria</t>
  </si>
  <si>
    <t>Grupo Familiar</t>
  </si>
  <si>
    <t>Possui Previdência</t>
  </si>
  <si>
    <t>CHARLES SCHWAB</t>
  </si>
  <si>
    <t>FAMÍLIA KUSOMOTO</t>
  </si>
  <si>
    <t>FAMÍLIA TOMÉ</t>
  </si>
  <si>
    <t>FAMÍLIA LELIS</t>
  </si>
  <si>
    <t>FAMÍLIA GRIESANG</t>
  </si>
  <si>
    <t>FAMÍLIA FORMAGE SCHMIDT</t>
  </si>
  <si>
    <t>FAMÍLIA ROMANO SALLES</t>
  </si>
  <si>
    <t>NELSON E MONICA</t>
  </si>
  <si>
    <t>FAMÍLIA FALEIRO</t>
  </si>
  <si>
    <t>FAMÍLIA NAVES</t>
  </si>
  <si>
    <t>FAMÍLIA LIO CAMARGO</t>
  </si>
  <si>
    <t>MFO</t>
  </si>
  <si>
    <t>XP US</t>
  </si>
  <si>
    <t>MARIA CECILIA DIAS DE MELLO FLORES -  XP US</t>
  </si>
  <si>
    <t>QXR347535</t>
  </si>
  <si>
    <t>AUREUS GLOBAL LTD</t>
  </si>
  <si>
    <t>PL 29/05/2026</t>
  </si>
  <si>
    <t>PL 29/06/2026</t>
  </si>
  <si>
    <t>RODRIGO FRANZOI DE OLIVEIRA</t>
  </si>
  <si>
    <t>RODRIGO FRANZOI DE OLIVEIRA - XP</t>
  </si>
  <si>
    <t>GUILHERME GONCALVES FEIJO DE CARVALHO</t>
  </si>
  <si>
    <t>GUIGFC@GMAIL.COM</t>
  </si>
  <si>
    <t>GUILHERME GONCALVES FEIJO DE CARVALHO - XP</t>
  </si>
  <si>
    <t>COOPERATIVA AGRO PECUARIA DE CARMO DO PAR</t>
  </si>
  <si>
    <t>CARPEC - XP</t>
  </si>
  <si>
    <t>financeiro.gerencial@carpec.com.br</t>
  </si>
  <si>
    <t>TERESINHA@LIFELAGOS.COM.BR</t>
  </si>
  <si>
    <t>VIAFRESA SERVICOS E LOCACOES LTDA</t>
  </si>
  <si>
    <t>VIAFRESA SERVICOS E LOCACOES LTDA - XP</t>
  </si>
  <si>
    <t>contato@viafresa.com.br</t>
  </si>
  <si>
    <t>TROPICAL AGRICOLA LTDA</t>
  </si>
  <si>
    <t>TROPICAL AGRICOLA LTDA - XP</t>
  </si>
  <si>
    <t>financeiro@sementestropical.com.br</t>
  </si>
  <si>
    <t>VICTOR GRIESANG</t>
  </si>
  <si>
    <t>VICTOR GRIESANG - XP</t>
  </si>
  <si>
    <t>VICTOR.GRIESANG@SEMENTESTROPICAL.COM.BR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</si>
</sst>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19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b/>
      <sz val="10"/>
      <color rgb="FFFFFF00"/>
      <name val="Arial"/>
    </font>
    <font>
      <sz val="10"/>
      <color rgb="FF222222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44" fontId="17" fillId="0" borderId="0" applyFont="0" applyFill="0" applyBorder="0" applyAlignment="0" applyProtection="0"/>
  </cellStyleXfs>
  <cellXfs count="14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9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10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9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0" fontId="7" fillId="3" borderId="0" xfId="0" applyFont="1" applyFill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11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11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8" fillId="0" borderId="0" xfId="0" applyFont="1"/>
    <xf numFmtId="0" fontId="7" fillId="3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8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 wrapText="1"/>
    </xf>
    <xf numFmtId="49" fontId="12" fillId="5" borderId="1" xfId="0" applyNumberFormat="1" applyFont="1" applyFill="1" applyBorder="1" applyAlignment="1">
      <alignment horizontal="center" wrapText="1"/>
    </xf>
    <xf numFmtId="165" fontId="12" fillId="5" borderId="1" xfId="0" applyNumberFormat="1" applyFont="1" applyFill="1" applyBorder="1" applyAlignment="1">
      <alignment horizontal="right" wrapText="1"/>
    </xf>
    <xf numFmtId="14" fontId="12" fillId="5" borderId="1" xfId="0" applyNumberFormat="1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14" fontId="7" fillId="3" borderId="1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165" fontId="7" fillId="3" borderId="1" xfId="0" applyNumberFormat="1" applyFont="1" applyFill="1" applyBorder="1" applyAlignment="1">
      <alignment horizontal="right"/>
    </xf>
    <xf numFmtId="14" fontId="7" fillId="3" borderId="2" xfId="0" applyNumberFormat="1" applyFont="1" applyFill="1" applyBorder="1" applyAlignment="1">
      <alignment horizontal="center"/>
    </xf>
    <xf numFmtId="14" fontId="8" fillId="3" borderId="1" xfId="0" applyNumberFormat="1" applyFont="1" applyFill="1" applyBorder="1" applyAlignment="1">
      <alignment horizontal="center"/>
    </xf>
    <xf numFmtId="49" fontId="8" fillId="3" borderId="1" xfId="0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49" fontId="8" fillId="3" borderId="0" xfId="0" applyNumberFormat="1" applyFont="1" applyFill="1" applyAlignment="1">
      <alignment horizontal="center"/>
    </xf>
    <xf numFmtId="165" fontId="7" fillId="3" borderId="0" xfId="0" applyNumberFormat="1" applyFont="1" applyFill="1" applyAlignment="1">
      <alignment horizontal="right"/>
    </xf>
    <xf numFmtId="49" fontId="7" fillId="3" borderId="0" xfId="0" applyNumberFormat="1" applyFont="1" applyFill="1" applyAlignment="1">
      <alignment horizontal="center"/>
    </xf>
    <xf numFmtId="49" fontId="8" fillId="3" borderId="3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165" fontId="8" fillId="4" borderId="1" xfId="0" applyNumberFormat="1" applyFont="1" applyFill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10" fontId="7" fillId="3" borderId="0" xfId="0" applyNumberFormat="1" applyFont="1" applyFill="1" applyAlignment="1">
      <alignment horizontal="center"/>
    </xf>
    <xf numFmtId="14" fontId="7" fillId="3" borderId="0" xfId="0" applyNumberFormat="1" applyFont="1" applyFill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49" fontId="13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165" fontId="8" fillId="3" borderId="1" xfId="0" applyNumberFormat="1" applyFont="1" applyFill="1" applyBorder="1" applyAlignment="1">
      <alignment horizontal="right"/>
    </xf>
    <xf numFmtId="49" fontId="8" fillId="3" borderId="1" xfId="0" applyNumberFormat="1" applyFont="1" applyFill="1" applyBorder="1" applyAlignment="1">
      <alignment horizontal="center" vertical="center"/>
    </xf>
    <xf numFmtId="49" fontId="14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14" fontId="8" fillId="0" borderId="0" xfId="0" applyNumberFormat="1" applyFont="1" applyAlignment="1">
      <alignment horizontal="center"/>
    </xf>
    <xf numFmtId="49" fontId="7" fillId="4" borderId="1" xfId="0" applyNumberFormat="1" applyFont="1" applyFill="1" applyBorder="1" applyAlignment="1">
      <alignment horizontal="center"/>
    </xf>
    <xf numFmtId="165" fontId="8" fillId="7" borderId="1" xfId="0" applyNumberFormat="1" applyFont="1" applyFill="1" applyBorder="1" applyAlignment="1">
      <alignment horizontal="right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49" fontId="7" fillId="0" borderId="1" xfId="0" applyNumberFormat="1" applyFont="1" applyBorder="1" applyAlignment="1">
      <alignment horizontal="center"/>
    </xf>
    <xf numFmtId="49" fontId="8" fillId="0" borderId="1" xfId="0" applyNumberFormat="1" applyFont="1" applyBorder="1" applyAlignment="1">
      <alignment horizontal="center"/>
    </xf>
    <xf numFmtId="164" fontId="7" fillId="3" borderId="1" xfId="0" applyNumberFormat="1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165" fontId="7" fillId="3" borderId="3" xfId="0" applyNumberFormat="1" applyFont="1" applyFill="1" applyBorder="1" applyAlignment="1">
      <alignment horizontal="right"/>
    </xf>
    <xf numFmtId="14" fontId="7" fillId="3" borderId="3" xfId="0" applyNumberFormat="1" applyFont="1" applyFill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64" fontId="7" fillId="3" borderId="3" xfId="0" applyNumberFormat="1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8" fillId="3" borderId="3" xfId="0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right"/>
    </xf>
    <xf numFmtId="0" fontId="14" fillId="3" borderId="1" xfId="0" applyFont="1" applyFill="1" applyBorder="1" applyAlignment="1">
      <alignment horizontal="center"/>
    </xf>
    <xf numFmtId="165" fontId="7" fillId="4" borderId="1" xfId="0" applyNumberFormat="1" applyFont="1" applyFill="1" applyBorder="1" applyAlignment="1">
      <alignment horizontal="right"/>
    </xf>
    <xf numFmtId="14" fontId="7" fillId="0" borderId="1" xfId="0" applyNumberFormat="1" applyFont="1" applyBorder="1" applyAlignment="1">
      <alignment horizontal="center"/>
    </xf>
    <xf numFmtId="14" fontId="7" fillId="4" borderId="1" xfId="0" applyNumberFormat="1" applyFont="1" applyFill="1" applyBorder="1" applyAlignment="1">
      <alignment horizontal="center"/>
    </xf>
    <xf numFmtId="49" fontId="15" fillId="3" borderId="1" xfId="0" applyNumberFormat="1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49" fontId="16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44" fontId="0" fillId="0" borderId="1" xfId="1" applyFont="1" applyBorder="1"/>
    <xf numFmtId="44" fontId="2" fillId="0" borderId="0" xfId="1" applyFont="1" applyBorder="1" applyAlignment="1">
      <alignment horizontal="right" vertical="center"/>
    </xf>
    <xf numFmtId="0" fontId="18" fillId="0" borderId="1" xfId="0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295275</xdr:colOff>
      <xdr:row>3</xdr:row>
      <xdr:rowOff>9525</xdr:rowOff>
    </xdr:from>
    <xdr:to>
      <xdr:col>19</xdr:col>
      <xdr:colOff>3162300</xdr:colOff>
      <xdr:row>24</xdr:row>
      <xdr:rowOff>152400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x18tc:personList xmlns:x18tc="http://schemas.microsoft.com/office/spreadsheetml/2018/threadedcomments">
  <x18tc:person displayName="" id="{714e2317-d0d1-413e-95de-f1f0989c0ad7}" providerId="google-sheets"/>
  <x18tc:person displayName="rafaela.sousa@bluemetrix.com.br" id="{70242f06-dbd0-4a42-998f-4228ea4f1d24}" providerId="google-sheets"/>
  <x18tc:person displayName="Rafaela Souza" id="{3884dd5e-2a29-42da-aec7-6ebf814626a8}" providerId="google-sheets"/>
  <x18tc:person displayName="david costa de sá alves" id="{3726b39b-6809-4167-994b-f08a63009520}" providerId="google-sheets"/>
  <x18tc:person displayName="Abreviaturas" id="{4ea203b2-dcef-4c17-ae7a-ace738a293e7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R2" dT="2024-02-27T13:52:44.00" personId="{70242f06-dbd0-4a42-998f-4228ea4f1d24}" id="{707ef050-144d-4be3-b5f1-cc5b3c235551}" done="1">
    <x18tc:text xml:space="preserve">PARA STVM: 
- STVM de entrada da [CORRETORA] finalizada [DATA]
- STVM de saída para [CORRETORA] finalizada [DATA]
- STVM interna finalizada [DATA] 
PARA ALTERAÇÃO DE CARTEIRA:
-Alteração de carteira finalizada [DATA] 
PARA DISTRATO/ENCERRAMENTO DE CONTA: 
-Cliente solicitou [DISTRATO/ENCERRAMENTO] [DATA DA SOLICITAÇÃO]</x18tc:text>
  </x18tc:threadedComment>
  <x18tc:threadedComment ref="M2" dT="2023-12-18T18:15:30.00" personId="{4ea203b2-dcef-4c17-ae7a-ace738a293e7}" id="{41111dda-496e-4f6c-bd73-a1d0dec6dcc5}" done="1">
    <x18tc:text xml:space="preserve">ARR - Arrojada
BDR - BDR
CON - Conservadora 
CORP - Corporate 
CRIP - Cripto
DIV - Dividendos 
EQT - Equities 
FII - Imobiliária
INC - Income
MOD - Moderada
PREV - Previdenciária
SMLL - Small Caps
FUND - Fundos</x18tc:text>
  </x18tc:threadedComment>
  <x18tc:threadedComment ref="AB2" dT="2023-12-18T18:15:30.00" personId="{714e2317-d0d1-413e-95de-f1f0989c0ad7}" id="{b16ccf68-afa7-436a-b25a-e3e23a6205fa}" done="1">
    <x18tc:text xml:space="preserve">Varejo - Até 1M
Qualificado - Entre 1M e 10M
Profissional - Acima de 10M</x18tc:text>
  </x18tc:threadedComment>
  <x18tc:threadedComment ref="H2" dT="2023-12-18T18:15:30.00" personId="{714e2317-d0d1-413e-95de-f1f0989c0ad7}" id="{056045fd-a283-49e0-9f0b-c182e0a271c1}" done="1">
    <x18tc:text xml:space="preserve">Ativo - Clientes com tudo OK
Encerrados - Clientes com Distrato
Pode operar - Recém aberto sem dinheiro
Inativos - Não operar e resgate total</x18tc:text>
  </x18tc:threadedComment>
  <x18tc:threadedComment ref="R1" dT="2024-02-27T12:38:36.00" personId="{70242f06-dbd0-4a42-998f-4228ea4f1d24}" id="{e3080722-32f1-4f0d-b294-0ecc3b6c1704}" done="1">
    <x18tc:text xml:space="preserve">PARA STVM: 
-STVM [ENTRADA/SAÍDA] [CORRETORA] finalizada (DATA)
PARA ALTERAÇÃO DE CARTEIRA:
-Alteração de carteira finalizada (DATA)
PARA DISTRATO/ENCERRAMENTO:
-Cliente solicitou distrato (DATA DA SOLICITAÇÃO)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2.xml"/><Relationship Id="rId4" Type="http://schemas.microsoft.com/office/2019/04/relationships/documenttask" Target="../documenttasks/documenttask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P122"/>
  <sheetViews>
    <sheetView showGridLines="0" tabSelected="1" workbookViewId="0">
      <pane ySplit="1" topLeftCell="A87" activePane="bottomLeft" state="frozen"/>
      <selection pane="bottomLeft" activeCell="R1" sqref="R1:R1048576"/>
    </sheetView>
  </sheetViews>
  <sheetFormatPr defaultColWidth="12.5703125" defaultRowHeight="12.75"/>
  <cols>
    <col min="1" max="1" width="17.5703125" style="133" bestFit="1" customWidth="1"/>
    <col min="2" max="2" width="41" bestFit="1" customWidth="1"/>
    <col min="3" max="3" width="41" customWidth="1"/>
    <col min="4" max="4" width="57.140625" bestFit="1" customWidth="1"/>
    <col min="5" max="6" width="10" customWidth="1"/>
    <col min="7" max="7" width="57.140625" customWidth="1"/>
    <col min="8" max="8" width="10.140625" bestFit="1" customWidth="1"/>
    <col min="9" max="9" width="9" customWidth="1"/>
    <col min="10" max="10" width="27.28515625" customWidth="1"/>
    <col min="11" max="12" width="15.140625" customWidth="1"/>
    <col min="13" max="14" width="27.28515625" customWidth="1"/>
    <col min="15" max="15" width="14.42578125" customWidth="1"/>
    <col min="16" max="18" width="18.42578125" customWidth="1"/>
    <col min="19" max="19" width="24.28515625" customWidth="1"/>
    <col min="20" max="20" width="83.85546875" customWidth="1"/>
    <col min="21" max="23" width="24.28515625" customWidth="1"/>
    <col min="24" max="24" width="44.5703125" bestFit="1" customWidth="1"/>
    <col min="25" max="41" width="17.42578125" customWidth="1"/>
    <col min="42" max="42" width="17.42578125" bestFit="1" customWidth="1"/>
  </cols>
  <sheetData>
    <row r="1" spans="1:42">
      <c r="A1" s="132" t="s">
        <v>0</v>
      </c>
      <c r="B1" s="130" t="s">
        <v>1399</v>
      </c>
      <c r="C1" s="130" t="s">
        <v>1656</v>
      </c>
      <c r="D1" s="130" t="s">
        <v>19</v>
      </c>
      <c r="E1" s="130" t="s">
        <v>23</v>
      </c>
      <c r="F1" s="130" t="s">
        <v>1648</v>
      </c>
      <c r="G1" s="130" t="s">
        <v>1530</v>
      </c>
      <c r="H1" s="130" t="s">
        <v>1</v>
      </c>
      <c r="I1" s="130" t="s">
        <v>3</v>
      </c>
      <c r="J1" s="130" t="s">
        <v>1392</v>
      </c>
      <c r="K1" s="130" t="s">
        <v>1393</v>
      </c>
      <c r="L1" s="130" t="s">
        <v>1494</v>
      </c>
      <c r="M1" s="130" t="s">
        <v>1647</v>
      </c>
      <c r="N1" s="130" t="s">
        <v>1646</v>
      </c>
      <c r="O1" s="130" t="s">
        <v>1396</v>
      </c>
      <c r="P1" s="130" t="s">
        <v>1394</v>
      </c>
      <c r="Q1" s="130" t="s">
        <v>1514</v>
      </c>
      <c r="R1" s="130" t="s">
        <v>1395</v>
      </c>
      <c r="S1" s="130" t="s">
        <v>1398</v>
      </c>
      <c r="T1" s="131" t="s">
        <v>5</v>
      </c>
      <c r="U1" s="130" t="s">
        <v>1400</v>
      </c>
      <c r="V1" s="130" t="s">
        <v>1657</v>
      </c>
      <c r="W1" s="130" t="s">
        <v>1401</v>
      </c>
      <c r="X1" s="130" t="s">
        <v>7</v>
      </c>
      <c r="Y1" s="130" t="s">
        <v>1498</v>
      </c>
      <c r="Z1" s="130" t="s">
        <v>1499</v>
      </c>
      <c r="AA1" s="130" t="s">
        <v>1500</v>
      </c>
      <c r="AB1" s="130" t="s">
        <v>1501</v>
      </c>
      <c r="AC1" s="130" t="s">
        <v>1502</v>
      </c>
      <c r="AD1" s="130" t="s">
        <v>1503</v>
      </c>
      <c r="AE1" s="130" t="s">
        <v>1504</v>
      </c>
      <c r="AF1" s="130" t="s">
        <v>1505</v>
      </c>
      <c r="AG1" s="130" t="s">
        <v>1506</v>
      </c>
      <c r="AH1" s="130" t="s">
        <v>1507</v>
      </c>
      <c r="AI1" s="130" t="s">
        <v>1508</v>
      </c>
      <c r="AJ1" s="130" t="s">
        <v>1509</v>
      </c>
      <c r="AK1" s="130" t="s">
        <v>1510</v>
      </c>
      <c r="AL1" s="130" t="s">
        <v>1511</v>
      </c>
      <c r="AM1" s="130" t="s">
        <v>1512</v>
      </c>
      <c r="AN1" s="130" t="s">
        <v>1513</v>
      </c>
      <c r="AO1" s="130" t="s">
        <v>1674</v>
      </c>
      <c r="AP1" s="130" t="s">
        <v>1675</v>
      </c>
    </row>
    <row r="2" spans="1:42">
      <c r="A2" s="1" t="s">
        <v>8</v>
      </c>
      <c r="B2" s="6" t="s">
        <v>1412</v>
      </c>
      <c r="C2" s="6" t="s">
        <v>1667</v>
      </c>
      <c r="D2" s="6" t="s">
        <v>1463</v>
      </c>
      <c r="E2" s="3" t="s">
        <v>1495</v>
      </c>
      <c r="F2" s="3" t="s">
        <v>1654</v>
      </c>
      <c r="G2" s="6" t="s">
        <v>1550</v>
      </c>
      <c r="H2" s="7">
        <v>5370995</v>
      </c>
      <c r="I2" s="2"/>
      <c r="J2" s="2" t="s">
        <v>1652</v>
      </c>
      <c r="K2" s="8"/>
      <c r="L2" s="8" t="s">
        <v>1636</v>
      </c>
      <c r="M2" s="3" t="s">
        <v>1638</v>
      </c>
      <c r="N2" s="3"/>
      <c r="O2" s="5"/>
      <c r="P2" s="3"/>
      <c r="Q2" s="3" t="s">
        <v>1397</v>
      </c>
      <c r="R2" s="3"/>
      <c r="S2" s="3"/>
      <c r="T2" s="9"/>
      <c r="U2" s="3"/>
      <c r="V2" s="3"/>
      <c r="W2" s="3"/>
      <c r="X2" s="4"/>
      <c r="Y2" s="140">
        <v>1505.95</v>
      </c>
      <c r="Z2" s="135">
        <v>1520.91</v>
      </c>
      <c r="AA2" s="135">
        <v>1535.62</v>
      </c>
      <c r="AB2" s="135">
        <v>1552.11</v>
      </c>
      <c r="AC2" s="135">
        <v>15923.05</v>
      </c>
      <c r="AD2" s="135">
        <v>16095.12</v>
      </c>
      <c r="AE2" s="135">
        <v>16291.21</v>
      </c>
      <c r="AF2" s="135">
        <v>16472.34</v>
      </c>
      <c r="AG2" s="135">
        <v>16642.68</v>
      </c>
      <c r="AH2" s="135">
        <v>16863.72</v>
      </c>
      <c r="AI2" s="135">
        <v>16908.599999999999</v>
      </c>
      <c r="AJ2" s="135">
        <v>18106.21</v>
      </c>
      <c r="AK2" s="135">
        <v>18295.93</v>
      </c>
      <c r="AL2" s="135">
        <v>18485.489999999998</v>
      </c>
      <c r="AM2" s="135">
        <v>18888.949999999997</v>
      </c>
      <c r="AN2" s="135">
        <v>19270.990000000002</v>
      </c>
      <c r="AO2" s="135">
        <v>19320.840000000004</v>
      </c>
      <c r="AP2" s="135">
        <v>19431.05</v>
      </c>
    </row>
    <row r="3" spans="1:42">
      <c r="A3" s="1" t="s">
        <v>8</v>
      </c>
      <c r="B3" s="6" t="s">
        <v>1520</v>
      </c>
      <c r="C3" s="6" t="s">
        <v>1413</v>
      </c>
      <c r="D3" s="6" t="s">
        <v>1520</v>
      </c>
      <c r="E3" s="3" t="s">
        <v>1496</v>
      </c>
      <c r="F3" s="3" t="s">
        <v>1669</v>
      </c>
      <c r="G3" s="6" t="s">
        <v>1626</v>
      </c>
      <c r="H3" s="7">
        <v>23572514</v>
      </c>
      <c r="I3" s="2"/>
      <c r="J3" s="2" t="s">
        <v>1652</v>
      </c>
      <c r="K3" s="8"/>
      <c r="L3" s="8" t="s">
        <v>1636</v>
      </c>
      <c r="M3" s="3" t="s">
        <v>1643</v>
      </c>
      <c r="N3" s="3"/>
      <c r="O3" s="5"/>
      <c r="P3" s="3"/>
      <c r="Q3" s="3" t="s">
        <v>1397</v>
      </c>
      <c r="R3" s="3"/>
      <c r="S3" s="3"/>
      <c r="T3" s="9"/>
      <c r="U3" s="3"/>
      <c r="V3" s="3"/>
      <c r="W3" s="3"/>
      <c r="X3" s="4"/>
      <c r="Y3" s="135">
        <v>0</v>
      </c>
      <c r="Z3" s="135">
        <v>0</v>
      </c>
      <c r="AA3" s="135">
        <v>0</v>
      </c>
      <c r="AB3" s="135">
        <v>0</v>
      </c>
      <c r="AC3" s="135">
        <v>0</v>
      </c>
      <c r="AD3" s="135">
        <v>0</v>
      </c>
      <c r="AE3" s="135">
        <v>0</v>
      </c>
      <c r="AF3" s="135">
        <v>0</v>
      </c>
      <c r="AG3" s="135">
        <v>0</v>
      </c>
      <c r="AH3" s="135">
        <v>0</v>
      </c>
      <c r="AI3" s="135">
        <v>0</v>
      </c>
      <c r="AJ3" s="135">
        <v>0</v>
      </c>
      <c r="AK3" s="135">
        <v>0</v>
      </c>
      <c r="AL3" s="135">
        <v>0</v>
      </c>
      <c r="AM3" s="135">
        <v>0</v>
      </c>
      <c r="AN3" s="135">
        <v>4570350.7600000007</v>
      </c>
      <c r="AO3" s="135">
        <v>4471753.290000001</v>
      </c>
      <c r="AP3" s="135">
        <v>4363869.0600000005</v>
      </c>
    </row>
    <row r="4" spans="1:42">
      <c r="A4" s="1" t="s">
        <v>8</v>
      </c>
      <c r="B4" s="6" t="s">
        <v>1407</v>
      </c>
      <c r="C4" s="6" t="s">
        <v>1407</v>
      </c>
      <c r="D4" s="6" t="s">
        <v>1456</v>
      </c>
      <c r="E4" s="3" t="s">
        <v>1495</v>
      </c>
      <c r="F4" s="3" t="s">
        <v>1654</v>
      </c>
      <c r="G4" s="6" t="s">
        <v>1538</v>
      </c>
      <c r="H4" s="7">
        <v>12255170</v>
      </c>
      <c r="I4" s="2"/>
      <c r="J4" s="2" t="s">
        <v>1652</v>
      </c>
      <c r="K4" s="8"/>
      <c r="L4" s="8" t="s">
        <v>1636</v>
      </c>
      <c r="M4" s="3" t="s">
        <v>15</v>
      </c>
      <c r="N4" s="3"/>
      <c r="O4" s="5"/>
      <c r="P4" s="3"/>
      <c r="Q4" s="3" t="s">
        <v>756</v>
      </c>
      <c r="R4" s="3"/>
      <c r="S4" s="3"/>
      <c r="T4" s="9"/>
      <c r="U4" s="3"/>
      <c r="V4" s="3"/>
      <c r="W4" s="3"/>
      <c r="X4" s="4"/>
      <c r="Y4" s="139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>
        <v>2346227.7200000002</v>
      </c>
      <c r="AL4" s="135">
        <v>2386529.4299999997</v>
      </c>
      <c r="AM4" s="135">
        <v>2384489.86</v>
      </c>
      <c r="AN4" s="135">
        <v>0</v>
      </c>
      <c r="AO4" s="135" t="s">
        <v>1497</v>
      </c>
      <c r="AP4" s="135">
        <v>2623133.4699999997</v>
      </c>
    </row>
    <row r="5" spans="1:42">
      <c r="A5" s="1" t="s">
        <v>8</v>
      </c>
      <c r="B5" s="6" t="s">
        <v>1519</v>
      </c>
      <c r="C5" s="6" t="s">
        <v>1661</v>
      </c>
      <c r="D5" s="6" t="s">
        <v>1519</v>
      </c>
      <c r="E5" s="3" t="s">
        <v>1495</v>
      </c>
      <c r="F5" s="3" t="s">
        <v>1669</v>
      </c>
      <c r="G5" s="6" t="s">
        <v>1624</v>
      </c>
      <c r="H5" s="7">
        <v>23546070</v>
      </c>
      <c r="I5" s="2"/>
      <c r="J5" s="2" t="s">
        <v>1652</v>
      </c>
      <c r="K5" s="8"/>
      <c r="L5" s="8" t="s">
        <v>1636</v>
      </c>
      <c r="M5" s="3" t="s">
        <v>15</v>
      </c>
      <c r="N5" s="3"/>
      <c r="O5" s="5"/>
      <c r="P5" s="3"/>
      <c r="Q5" s="3" t="s">
        <v>1397</v>
      </c>
      <c r="R5" s="3"/>
      <c r="S5" s="3"/>
      <c r="T5" s="9"/>
      <c r="U5" s="3"/>
      <c r="V5" s="3"/>
      <c r="W5" s="3"/>
      <c r="X5" s="4"/>
      <c r="Y5" s="135">
        <v>0</v>
      </c>
      <c r="Z5" s="135">
        <v>0</v>
      </c>
      <c r="AA5" s="135">
        <v>0</v>
      </c>
      <c r="AB5" s="135">
        <v>0</v>
      </c>
      <c r="AC5" s="135">
        <v>0</v>
      </c>
      <c r="AD5" s="135">
        <v>0</v>
      </c>
      <c r="AE5" s="135">
        <v>0</v>
      </c>
      <c r="AF5" s="135">
        <v>0</v>
      </c>
      <c r="AG5" s="135">
        <v>0</v>
      </c>
      <c r="AH5" s="135">
        <v>0</v>
      </c>
      <c r="AI5" s="135">
        <v>0</v>
      </c>
      <c r="AJ5" s="135">
        <v>0</v>
      </c>
      <c r="AK5" s="135">
        <v>0</v>
      </c>
      <c r="AL5" s="135">
        <v>0</v>
      </c>
      <c r="AM5" s="135">
        <v>0</v>
      </c>
      <c r="AN5" s="135">
        <v>482650</v>
      </c>
      <c r="AO5" s="135">
        <v>437620.73000000004</v>
      </c>
      <c r="AP5" s="135">
        <v>310650.34999999998</v>
      </c>
    </row>
    <row r="6" spans="1:42">
      <c r="A6" s="1" t="s">
        <v>8</v>
      </c>
      <c r="B6" s="6" t="s">
        <v>1412</v>
      </c>
      <c r="C6" s="6" t="s">
        <v>1667</v>
      </c>
      <c r="D6" s="6" t="s">
        <v>1412</v>
      </c>
      <c r="E6" s="3" t="s">
        <v>1495</v>
      </c>
      <c r="F6" s="3" t="s">
        <v>1654</v>
      </c>
      <c r="G6" s="6" t="s">
        <v>1549</v>
      </c>
      <c r="H6" s="7">
        <v>4498022</v>
      </c>
      <c r="I6" s="2"/>
      <c r="J6" s="2" t="s">
        <v>1652</v>
      </c>
      <c r="K6" s="8"/>
      <c r="L6" s="8" t="s">
        <v>1636</v>
      </c>
      <c r="M6" s="3" t="s">
        <v>1638</v>
      </c>
      <c r="N6" s="3"/>
      <c r="O6" s="5"/>
      <c r="P6" s="3"/>
      <c r="Q6" s="3" t="s">
        <v>1397</v>
      </c>
      <c r="R6" s="3"/>
      <c r="S6" s="3"/>
      <c r="T6" s="9"/>
      <c r="U6" s="3"/>
      <c r="V6" s="3"/>
      <c r="W6" s="3"/>
      <c r="X6" s="4"/>
      <c r="Y6" s="135">
        <v>113388.38</v>
      </c>
      <c r="Z6" s="135">
        <v>114580.02</v>
      </c>
      <c r="AA6" s="135">
        <v>115619.29</v>
      </c>
      <c r="AB6" s="135">
        <v>114649.62</v>
      </c>
      <c r="AC6" s="135">
        <v>115750.85</v>
      </c>
      <c r="AD6" s="135">
        <v>117163.39</v>
      </c>
      <c r="AE6" s="135">
        <v>118799.03</v>
      </c>
      <c r="AF6" s="135">
        <v>120259.75</v>
      </c>
      <c r="AG6" s="135">
        <v>121676.8</v>
      </c>
      <c r="AH6" s="135">
        <v>123185.48</v>
      </c>
      <c r="AI6" s="135">
        <v>124978.86</v>
      </c>
      <c r="AJ6" s="135">
        <v>126551.76</v>
      </c>
      <c r="AK6" s="135">
        <v>109367.61</v>
      </c>
      <c r="AL6" s="135">
        <v>110680.76000000001</v>
      </c>
      <c r="AM6" s="135">
        <v>112695.76</v>
      </c>
      <c r="AN6" s="135">
        <v>113827.14</v>
      </c>
      <c r="AO6" s="135">
        <v>115284.09</v>
      </c>
      <c r="AP6" s="135">
        <v>116265.77</v>
      </c>
    </row>
    <row r="7" spans="1:42">
      <c r="A7" s="1" t="s">
        <v>8</v>
      </c>
      <c r="B7" s="6" t="s">
        <v>1518</v>
      </c>
      <c r="C7" s="6" t="s">
        <v>1518</v>
      </c>
      <c r="D7" s="6" t="s">
        <v>1518</v>
      </c>
      <c r="E7" s="3" t="s">
        <v>1495</v>
      </c>
      <c r="F7" s="3" t="s">
        <v>1654</v>
      </c>
      <c r="G7" s="6" t="s">
        <v>1623</v>
      </c>
      <c r="H7" s="7">
        <v>23147291</v>
      </c>
      <c r="I7" s="2"/>
      <c r="J7" s="2" t="s">
        <v>1652</v>
      </c>
      <c r="K7" s="8"/>
      <c r="L7" s="8" t="s">
        <v>1636</v>
      </c>
      <c r="M7" s="3" t="s">
        <v>1644</v>
      </c>
      <c r="N7" s="3"/>
      <c r="O7" s="5"/>
      <c r="P7" s="3"/>
      <c r="Q7" s="3" t="s">
        <v>1397</v>
      </c>
      <c r="R7" s="3"/>
      <c r="S7" s="3"/>
      <c r="T7" s="9"/>
      <c r="U7" s="3"/>
      <c r="V7" s="3"/>
      <c r="W7" s="3"/>
      <c r="X7" s="4"/>
      <c r="Y7" s="135">
        <v>0</v>
      </c>
      <c r="Z7" s="135">
        <v>0</v>
      </c>
      <c r="AA7" s="135">
        <v>0</v>
      </c>
      <c r="AB7" s="135">
        <v>0</v>
      </c>
      <c r="AC7" s="135">
        <v>0</v>
      </c>
      <c r="AD7" s="135">
        <v>0</v>
      </c>
      <c r="AE7" s="135">
        <v>0</v>
      </c>
      <c r="AF7" s="135">
        <v>0</v>
      </c>
      <c r="AG7" s="135">
        <v>0</v>
      </c>
      <c r="AH7" s="135">
        <v>0</v>
      </c>
      <c r="AI7" s="135">
        <v>0</v>
      </c>
      <c r="AJ7" s="135">
        <v>0</v>
      </c>
      <c r="AK7" s="135">
        <v>0</v>
      </c>
      <c r="AL7" s="135">
        <v>0</v>
      </c>
      <c r="AM7" s="135">
        <v>1999501.09</v>
      </c>
      <c r="AN7" s="135">
        <v>2554699.2800000003</v>
      </c>
      <c r="AO7" s="135">
        <v>2532132.7300000004</v>
      </c>
      <c r="AP7" s="135">
        <v>2532595.86</v>
      </c>
    </row>
    <row r="8" spans="1:42">
      <c r="A8" s="1" t="s">
        <v>8</v>
      </c>
      <c r="B8" s="6" t="s">
        <v>1428</v>
      </c>
      <c r="C8" s="6" t="s">
        <v>1661</v>
      </c>
      <c r="D8" s="6" t="s">
        <v>1525</v>
      </c>
      <c r="E8" s="3" t="s">
        <v>1496</v>
      </c>
      <c r="F8" s="3" t="s">
        <v>1669</v>
      </c>
      <c r="G8" s="6" t="s">
        <v>1627</v>
      </c>
      <c r="H8" s="7">
        <v>21272927</v>
      </c>
      <c r="I8" s="2"/>
      <c r="J8" s="2" t="s">
        <v>1652</v>
      </c>
      <c r="K8" s="8"/>
      <c r="L8" s="8" t="s">
        <v>1636</v>
      </c>
      <c r="M8" s="3" t="s">
        <v>1643</v>
      </c>
      <c r="N8" s="3"/>
      <c r="O8" s="5"/>
      <c r="P8" s="3"/>
      <c r="Q8" s="3" t="s">
        <v>1397</v>
      </c>
      <c r="R8" s="3"/>
      <c r="S8" s="3"/>
      <c r="T8" s="9"/>
      <c r="U8" s="3"/>
      <c r="V8" s="3"/>
      <c r="W8" s="3"/>
      <c r="X8" s="4"/>
      <c r="Y8" s="135">
        <v>0</v>
      </c>
      <c r="Z8" s="135">
        <v>0</v>
      </c>
      <c r="AA8" s="135">
        <v>0</v>
      </c>
      <c r="AB8" s="135">
        <v>0</v>
      </c>
      <c r="AC8" s="135">
        <v>0</v>
      </c>
      <c r="AD8" s="135">
        <v>0</v>
      </c>
      <c r="AE8" s="135">
        <v>0</v>
      </c>
      <c r="AF8" s="135">
        <v>0</v>
      </c>
      <c r="AG8" s="135">
        <v>0</v>
      </c>
      <c r="AH8" s="135">
        <v>0</v>
      </c>
      <c r="AI8" s="135">
        <v>0</v>
      </c>
      <c r="AJ8" s="135">
        <v>0</v>
      </c>
      <c r="AK8" s="135">
        <v>0</v>
      </c>
      <c r="AL8" s="135">
        <v>0</v>
      </c>
      <c r="AM8" s="135">
        <v>0</v>
      </c>
      <c r="AN8" s="135">
        <v>0</v>
      </c>
      <c r="AO8" s="135" t="s">
        <v>1497</v>
      </c>
      <c r="AP8" s="135" t="s">
        <v>1497</v>
      </c>
    </row>
    <row r="9" spans="1:42">
      <c r="A9" s="1" t="s">
        <v>8</v>
      </c>
      <c r="B9" s="6" t="s">
        <v>1425</v>
      </c>
      <c r="C9" s="6" t="s">
        <v>1425</v>
      </c>
      <c r="D9" s="6" t="s">
        <v>1425</v>
      </c>
      <c r="E9" s="3" t="s">
        <v>1495</v>
      </c>
      <c r="F9" s="3" t="s">
        <v>1654</v>
      </c>
      <c r="G9" s="6" t="s">
        <v>1573</v>
      </c>
      <c r="H9" s="7">
        <v>2758096</v>
      </c>
      <c r="I9" s="2"/>
      <c r="J9" s="2" t="s">
        <v>1652</v>
      </c>
      <c r="K9" s="8"/>
      <c r="L9" s="8" t="s">
        <v>1637</v>
      </c>
      <c r="M9" s="3" t="s">
        <v>1641</v>
      </c>
      <c r="N9" s="3"/>
      <c r="O9" s="5"/>
      <c r="P9" s="3"/>
      <c r="Q9" s="3" t="s">
        <v>756</v>
      </c>
      <c r="R9" s="3"/>
      <c r="S9" s="3"/>
      <c r="T9" s="9"/>
      <c r="U9" s="3"/>
      <c r="V9" s="3"/>
      <c r="W9" s="3"/>
      <c r="X9" s="4"/>
      <c r="Y9" s="135">
        <v>207935.91</v>
      </c>
      <c r="Z9" s="135" t="s">
        <v>1650</v>
      </c>
      <c r="AA9" s="135">
        <v>454005.04</v>
      </c>
      <c r="AB9" s="135">
        <v>561840.41</v>
      </c>
      <c r="AC9" s="135">
        <v>986973.09</v>
      </c>
      <c r="AD9" s="135">
        <v>1109182.8899999999</v>
      </c>
      <c r="AE9" s="135">
        <v>1105980.1599999999</v>
      </c>
      <c r="AF9" s="135">
        <v>1130914.8</v>
      </c>
      <c r="AG9" s="135">
        <v>1102199.8799999999</v>
      </c>
      <c r="AH9" s="135">
        <v>1111747.75</v>
      </c>
      <c r="AI9" s="135">
        <v>908279.83</v>
      </c>
      <c r="AJ9" s="135">
        <v>924832.94</v>
      </c>
      <c r="AK9" s="135">
        <v>958204.44000000006</v>
      </c>
      <c r="AL9" s="135">
        <v>970850.2300000001</v>
      </c>
      <c r="AM9" s="135">
        <v>959444.02</v>
      </c>
      <c r="AN9" s="135">
        <v>964407.11</v>
      </c>
      <c r="AO9" s="135">
        <v>951537.41000000015</v>
      </c>
      <c r="AP9" s="135">
        <v>957353.01</v>
      </c>
    </row>
    <row r="10" spans="1:42">
      <c r="A10" s="1" t="s">
        <v>8</v>
      </c>
      <c r="B10" s="6" t="s">
        <v>1428</v>
      </c>
      <c r="C10" s="6" t="s">
        <v>1661</v>
      </c>
      <c r="D10" s="6" t="s">
        <v>1428</v>
      </c>
      <c r="E10" s="3" t="s">
        <v>1495</v>
      </c>
      <c r="F10" s="3" t="s">
        <v>1669</v>
      </c>
      <c r="G10" s="6" t="s">
        <v>1581</v>
      </c>
      <c r="H10" s="7">
        <v>14668131</v>
      </c>
      <c r="I10" s="2"/>
      <c r="J10" s="2" t="s">
        <v>1652</v>
      </c>
      <c r="K10" s="8"/>
      <c r="L10" s="8" t="s">
        <v>1636</v>
      </c>
      <c r="M10" s="3" t="s">
        <v>1640</v>
      </c>
      <c r="N10" s="3"/>
      <c r="O10" s="5"/>
      <c r="P10" s="3"/>
      <c r="Q10" s="3" t="s">
        <v>756</v>
      </c>
      <c r="R10" s="3"/>
      <c r="S10" s="3"/>
      <c r="T10" s="9"/>
      <c r="U10" s="3"/>
      <c r="V10" s="3"/>
      <c r="W10" s="3"/>
      <c r="X10" s="4"/>
      <c r="Y10" s="135">
        <v>0</v>
      </c>
      <c r="Z10" s="135">
        <v>0</v>
      </c>
      <c r="AA10" s="135">
        <v>0</v>
      </c>
      <c r="AB10" s="135">
        <v>0</v>
      </c>
      <c r="AC10" s="135">
        <v>0</v>
      </c>
      <c r="AD10" s="135">
        <v>0</v>
      </c>
      <c r="AE10" s="135">
        <v>0</v>
      </c>
      <c r="AF10" s="135">
        <v>0</v>
      </c>
      <c r="AG10" s="135">
        <v>0</v>
      </c>
      <c r="AH10" s="135">
        <v>0</v>
      </c>
      <c r="AI10" s="135">
        <v>0</v>
      </c>
      <c r="AJ10" s="135">
        <v>1.64</v>
      </c>
      <c r="AK10" s="135">
        <v>1.64</v>
      </c>
      <c r="AL10" s="135">
        <v>1.64</v>
      </c>
      <c r="AM10" s="135">
        <v>1.64</v>
      </c>
      <c r="AN10" s="135">
        <v>1.64</v>
      </c>
      <c r="AO10" s="135">
        <v>1.64</v>
      </c>
      <c r="AP10" s="135" t="s">
        <v>1497</v>
      </c>
    </row>
    <row r="11" spans="1:42">
      <c r="A11" s="1" t="s">
        <v>8</v>
      </c>
      <c r="B11" s="6" t="s">
        <v>1429</v>
      </c>
      <c r="C11" s="6" t="s">
        <v>1429</v>
      </c>
      <c r="D11" s="6" t="s">
        <v>1529</v>
      </c>
      <c r="E11" s="3" t="s">
        <v>1496</v>
      </c>
      <c r="F11" s="3" t="s">
        <v>1654</v>
      </c>
      <c r="G11" s="6" t="s">
        <v>1635</v>
      </c>
      <c r="H11" s="7">
        <v>5949720</v>
      </c>
      <c r="I11" s="2"/>
      <c r="J11" s="2" t="s">
        <v>1652</v>
      </c>
      <c r="K11" s="8"/>
      <c r="L11" s="8" t="s">
        <v>1636</v>
      </c>
      <c r="M11" s="3" t="s">
        <v>15</v>
      </c>
      <c r="N11" s="3"/>
      <c r="O11" s="5"/>
      <c r="P11" s="3"/>
      <c r="Q11" s="3" t="s">
        <v>1397</v>
      </c>
      <c r="R11" s="3"/>
      <c r="S11" s="3"/>
      <c r="T11" s="9"/>
      <c r="U11" s="3"/>
      <c r="V11" s="3"/>
      <c r="W11" s="3"/>
      <c r="X11" s="4"/>
      <c r="Y11" s="135">
        <v>0</v>
      </c>
      <c r="Z11" s="135">
        <v>0</v>
      </c>
      <c r="AA11" s="135">
        <v>0</v>
      </c>
      <c r="AB11" s="135">
        <v>0</v>
      </c>
      <c r="AC11" s="135">
        <v>0</v>
      </c>
      <c r="AD11" s="135">
        <v>0</v>
      </c>
      <c r="AE11" s="135">
        <v>0</v>
      </c>
      <c r="AF11" s="135">
        <v>0</v>
      </c>
      <c r="AG11" s="135">
        <v>0</v>
      </c>
      <c r="AH11" s="135">
        <v>0</v>
      </c>
      <c r="AI11" s="135">
        <v>0</v>
      </c>
      <c r="AJ11" s="135">
        <v>0</v>
      </c>
      <c r="AK11" s="135">
        <v>0</v>
      </c>
      <c r="AL11" s="135">
        <v>0</v>
      </c>
      <c r="AM11" s="135">
        <v>0</v>
      </c>
      <c r="AN11" s="135">
        <v>0</v>
      </c>
      <c r="AO11" s="135" t="s">
        <v>1497</v>
      </c>
      <c r="AP11" s="135" t="s">
        <v>1497</v>
      </c>
    </row>
    <row r="12" spans="1:42">
      <c r="A12" s="1" t="s">
        <v>8</v>
      </c>
      <c r="B12" s="6" t="s">
        <v>1430</v>
      </c>
      <c r="C12" s="6" t="s">
        <v>1668</v>
      </c>
      <c r="D12" s="6" t="s">
        <v>1480</v>
      </c>
      <c r="E12" s="3" t="s">
        <v>1495</v>
      </c>
      <c r="F12" s="3" t="s">
        <v>1654</v>
      </c>
      <c r="G12" s="6" t="s">
        <v>1584</v>
      </c>
      <c r="H12" s="7">
        <v>4252546</v>
      </c>
      <c r="I12" s="2"/>
      <c r="J12" s="2" t="s">
        <v>1652</v>
      </c>
      <c r="K12" s="8"/>
      <c r="L12" s="8" t="s">
        <v>1637</v>
      </c>
      <c r="M12" s="3" t="s">
        <v>1639</v>
      </c>
      <c r="N12" s="3"/>
      <c r="O12" s="5"/>
      <c r="P12" s="3"/>
      <c r="Q12" s="3" t="s">
        <v>756</v>
      </c>
      <c r="R12" s="3"/>
      <c r="S12" s="3"/>
      <c r="T12" s="9"/>
      <c r="U12" s="3"/>
      <c r="V12" s="3"/>
      <c r="W12" s="3"/>
      <c r="X12" s="4"/>
      <c r="Y12" s="135">
        <v>2239392.6800000002</v>
      </c>
      <c r="Z12" s="135">
        <v>2541494.65</v>
      </c>
      <c r="AA12" s="135">
        <v>2592711.9700000002</v>
      </c>
      <c r="AB12" s="135">
        <v>2650890.7400000002</v>
      </c>
      <c r="AC12" s="135">
        <v>2164253.66</v>
      </c>
      <c r="AD12" s="135">
        <v>2176611.29</v>
      </c>
      <c r="AE12" s="135">
        <v>2152075.52</v>
      </c>
      <c r="AF12" s="135">
        <v>2223808.67</v>
      </c>
      <c r="AG12" s="135">
        <v>2224827.36</v>
      </c>
      <c r="AH12" s="135">
        <v>2280508.1800000002</v>
      </c>
      <c r="AI12" s="135">
        <v>2262536.15</v>
      </c>
      <c r="AJ12" s="135">
        <v>2337905.86</v>
      </c>
      <c r="AK12" s="135">
        <v>2348938.7600000002</v>
      </c>
      <c r="AL12" s="135">
        <v>2523835.8200000012</v>
      </c>
      <c r="AM12" s="135">
        <v>2519858.5</v>
      </c>
      <c r="AN12" s="135">
        <v>2543913.1399999997</v>
      </c>
      <c r="AO12" s="135">
        <v>2549244.5100000002</v>
      </c>
      <c r="AP12" s="135">
        <v>2560785.5500000003</v>
      </c>
    </row>
    <row r="13" spans="1:42">
      <c r="A13" s="1" t="s">
        <v>8</v>
      </c>
      <c r="B13" s="6" t="s">
        <v>1411</v>
      </c>
      <c r="C13" s="6" t="s">
        <v>1411</v>
      </c>
      <c r="D13" s="6" t="s">
        <v>1459</v>
      </c>
      <c r="E13" s="3" t="s">
        <v>1495</v>
      </c>
      <c r="F13" s="3" t="s">
        <v>1654</v>
      </c>
      <c r="G13" s="6" t="s">
        <v>1547</v>
      </c>
      <c r="H13" s="7">
        <v>4718691</v>
      </c>
      <c r="I13" s="2"/>
      <c r="J13" s="2" t="s">
        <v>1652</v>
      </c>
      <c r="K13" s="8"/>
      <c r="L13" s="8" t="s">
        <v>1636</v>
      </c>
      <c r="M13" s="3" t="s">
        <v>1641</v>
      </c>
      <c r="N13" s="3"/>
      <c r="O13" s="5"/>
      <c r="P13" s="3"/>
      <c r="Q13" s="3" t="s">
        <v>1397</v>
      </c>
      <c r="R13" s="3"/>
      <c r="S13" s="3"/>
      <c r="T13" s="9"/>
      <c r="U13" s="3"/>
      <c r="V13" s="3"/>
      <c r="W13" s="3"/>
      <c r="X13" s="4"/>
      <c r="Y13" s="135">
        <v>103849.48</v>
      </c>
      <c r="Z13" s="135">
        <v>102792.52</v>
      </c>
      <c r="AA13" s="135">
        <v>71766.960000000006</v>
      </c>
      <c r="AB13" s="135">
        <v>21452.74</v>
      </c>
      <c r="AC13" s="135">
        <v>23283.94</v>
      </c>
      <c r="AD13" s="135">
        <v>22053.72</v>
      </c>
      <c r="AE13" s="135">
        <v>23721.38</v>
      </c>
      <c r="AF13" s="135">
        <v>22650.57</v>
      </c>
      <c r="AG13" s="135">
        <v>22443.37</v>
      </c>
      <c r="AH13" s="135">
        <v>21425.69</v>
      </c>
      <c r="AI13" s="135">
        <v>18290.330000000002</v>
      </c>
      <c r="AJ13" s="135">
        <v>18139.98</v>
      </c>
      <c r="AK13" s="135">
        <v>17366.989999999998</v>
      </c>
      <c r="AL13" s="135">
        <v>14798.099999999999</v>
      </c>
      <c r="AM13" s="135">
        <v>14341.48</v>
      </c>
      <c r="AN13" s="135">
        <v>15342.21</v>
      </c>
      <c r="AO13" s="135">
        <v>16643.940000000002</v>
      </c>
      <c r="AP13" s="135">
        <v>15646.380000000001</v>
      </c>
    </row>
    <row r="14" spans="1:42">
      <c r="A14" s="1" t="s">
        <v>8</v>
      </c>
      <c r="B14" s="6" t="s">
        <v>1411</v>
      </c>
      <c r="C14" s="6" t="s">
        <v>1411</v>
      </c>
      <c r="D14" s="6" t="s">
        <v>1460</v>
      </c>
      <c r="E14" s="3" t="s">
        <v>1495</v>
      </c>
      <c r="F14" s="3" t="s">
        <v>1654</v>
      </c>
      <c r="G14" s="6" t="s">
        <v>1544</v>
      </c>
      <c r="H14" s="7">
        <v>3630513</v>
      </c>
      <c r="I14" s="2"/>
      <c r="J14" s="2" t="s">
        <v>1652</v>
      </c>
      <c r="K14" s="8"/>
      <c r="L14" s="8" t="s">
        <v>1636</v>
      </c>
      <c r="M14" s="3" t="s">
        <v>1641</v>
      </c>
      <c r="N14" s="3"/>
      <c r="O14" s="5"/>
      <c r="P14" s="3"/>
      <c r="Q14" s="3" t="s">
        <v>756</v>
      </c>
      <c r="R14" s="3"/>
      <c r="S14" s="3"/>
      <c r="T14" s="9"/>
      <c r="U14" s="3"/>
      <c r="V14" s="3"/>
      <c r="W14" s="3"/>
      <c r="X14" s="4"/>
      <c r="Y14" s="135">
        <v>878446.54</v>
      </c>
      <c r="Z14" s="135">
        <v>940545.61</v>
      </c>
      <c r="AA14" s="135">
        <v>954756.57</v>
      </c>
      <c r="AB14" s="135">
        <v>976844.32</v>
      </c>
      <c r="AC14" s="135">
        <v>988431.48</v>
      </c>
      <c r="AD14" s="135">
        <v>1066746.31</v>
      </c>
      <c r="AE14" s="135">
        <v>1099155.22</v>
      </c>
      <c r="AF14" s="135">
        <v>1118378.19</v>
      </c>
      <c r="AG14" s="135">
        <v>1140502.75</v>
      </c>
      <c r="AH14" s="135">
        <v>1153113.67</v>
      </c>
      <c r="AI14" s="135" t="s">
        <v>1649</v>
      </c>
      <c r="AJ14" s="135">
        <v>1261269.67</v>
      </c>
      <c r="AK14" s="135">
        <v>1232273.3200000003</v>
      </c>
      <c r="AL14" s="135">
        <v>1251767.1199999999</v>
      </c>
      <c r="AM14" s="135">
        <v>1245558.58</v>
      </c>
      <c r="AN14" s="135">
        <v>1686853.94</v>
      </c>
      <c r="AO14" s="135">
        <v>1681139.04</v>
      </c>
      <c r="AP14" s="135">
        <v>1656321.8000000003</v>
      </c>
    </row>
    <row r="15" spans="1:42">
      <c r="A15" s="1" t="s">
        <v>8</v>
      </c>
      <c r="B15" s="6" t="s">
        <v>1433</v>
      </c>
      <c r="C15" s="6" t="s">
        <v>1666</v>
      </c>
      <c r="D15" s="6" t="s">
        <v>1433</v>
      </c>
      <c r="E15" s="3" t="s">
        <v>1496</v>
      </c>
      <c r="F15" s="3" t="s">
        <v>1654</v>
      </c>
      <c r="G15" s="6" t="s">
        <v>1590</v>
      </c>
      <c r="H15" s="7">
        <v>4475136</v>
      </c>
      <c r="I15" s="2"/>
      <c r="J15" s="2" t="s">
        <v>1653</v>
      </c>
      <c r="K15" s="8"/>
      <c r="L15" s="8" t="s">
        <v>1637</v>
      </c>
      <c r="M15" s="3" t="s">
        <v>1643</v>
      </c>
      <c r="N15" s="3"/>
      <c r="O15" s="5"/>
      <c r="P15" s="3"/>
      <c r="Q15" s="3" t="s">
        <v>1397</v>
      </c>
      <c r="R15" s="3"/>
      <c r="S15" s="3"/>
      <c r="T15" s="9"/>
      <c r="U15" s="3"/>
      <c r="V15" s="3"/>
      <c r="W15" s="3"/>
      <c r="X15" s="4"/>
      <c r="Y15" s="135">
        <v>12376.84</v>
      </c>
      <c r="Z15" s="135">
        <v>12528.47</v>
      </c>
      <c r="AA15" s="135">
        <v>12671.09</v>
      </c>
      <c r="AB15" s="135">
        <v>12790.38</v>
      </c>
      <c r="AC15" s="135">
        <v>12963.16</v>
      </c>
      <c r="AD15" s="135">
        <v>13127.85</v>
      </c>
      <c r="AE15" s="135">
        <v>13310.25</v>
      </c>
      <c r="AF15" s="135">
        <v>13471.89</v>
      </c>
      <c r="AG15" s="135">
        <v>13668.18</v>
      </c>
      <c r="AH15" s="135">
        <v>13829.26</v>
      </c>
      <c r="AI15" s="135">
        <v>13973.37</v>
      </c>
      <c r="AJ15" s="135">
        <v>14133.36</v>
      </c>
      <c r="AK15" s="135">
        <v>14277.939999999999</v>
      </c>
      <c r="AL15" s="135">
        <v>14412.92</v>
      </c>
      <c r="AM15" s="135">
        <v>14535.189999999999</v>
      </c>
      <c r="AN15" s="135">
        <v>14660.94</v>
      </c>
      <c r="AO15" s="135">
        <v>14855.47</v>
      </c>
      <c r="AP15" s="135">
        <v>15034.140000000001</v>
      </c>
    </row>
    <row r="16" spans="1:42">
      <c r="A16" s="1" t="s">
        <v>8</v>
      </c>
      <c r="B16" s="6" t="s">
        <v>1434</v>
      </c>
      <c r="C16" s="6" t="s">
        <v>1666</v>
      </c>
      <c r="D16" s="6" t="s">
        <v>1434</v>
      </c>
      <c r="E16" s="3" t="s">
        <v>1496</v>
      </c>
      <c r="F16" s="3" t="s">
        <v>1654</v>
      </c>
      <c r="G16" s="6" t="s">
        <v>1591</v>
      </c>
      <c r="H16" s="7">
        <v>4474935</v>
      </c>
      <c r="I16" s="2"/>
      <c r="J16" s="2" t="s">
        <v>1653</v>
      </c>
      <c r="K16" s="8"/>
      <c r="L16" s="8" t="s">
        <v>1637</v>
      </c>
      <c r="M16" s="3" t="s">
        <v>1643</v>
      </c>
      <c r="N16" s="3"/>
      <c r="O16" s="5"/>
      <c r="P16" s="3"/>
      <c r="Q16" s="3" t="s">
        <v>1397</v>
      </c>
      <c r="R16" s="3"/>
      <c r="S16" s="3"/>
      <c r="T16" s="9"/>
      <c r="U16" s="3"/>
      <c r="V16" s="3"/>
      <c r="W16" s="3"/>
      <c r="X16" s="4"/>
      <c r="Y16" s="135">
        <v>12376.84</v>
      </c>
      <c r="Z16" s="135">
        <v>12528.47</v>
      </c>
      <c r="AA16" s="135">
        <v>12671.09</v>
      </c>
      <c r="AB16" s="135">
        <v>12790.38</v>
      </c>
      <c r="AC16" s="135">
        <v>12963.16</v>
      </c>
      <c r="AD16" s="135">
        <v>13127.85</v>
      </c>
      <c r="AE16" s="135">
        <v>13310.25</v>
      </c>
      <c r="AF16" s="135">
        <v>13471.89</v>
      </c>
      <c r="AG16" s="135">
        <v>13668.17</v>
      </c>
      <c r="AH16" s="135">
        <v>13829.25</v>
      </c>
      <c r="AI16" s="135">
        <v>13973.36</v>
      </c>
      <c r="AJ16" s="135">
        <v>14133.35</v>
      </c>
      <c r="AK16" s="135">
        <v>14277.929999999998</v>
      </c>
      <c r="AL16" s="135">
        <v>14412.910000000002</v>
      </c>
      <c r="AM16" s="135">
        <v>14535.18</v>
      </c>
      <c r="AN16" s="135">
        <v>14660.93</v>
      </c>
      <c r="AO16" s="135">
        <v>14855.46</v>
      </c>
      <c r="AP16" s="135">
        <v>15034.130000000001</v>
      </c>
    </row>
    <row r="17" spans="1:42">
      <c r="A17" s="1" t="s">
        <v>8</v>
      </c>
      <c r="B17" s="6" t="s">
        <v>1436</v>
      </c>
      <c r="C17" s="6" t="s">
        <v>1436</v>
      </c>
      <c r="D17" s="6" t="s">
        <v>1436</v>
      </c>
      <c r="E17" s="3" t="s">
        <v>1495</v>
      </c>
      <c r="F17" s="3" t="s">
        <v>1654</v>
      </c>
      <c r="G17" s="6" t="s">
        <v>1594</v>
      </c>
      <c r="H17" s="7">
        <v>2912475</v>
      </c>
      <c r="I17" s="2"/>
      <c r="J17" s="2" t="s">
        <v>1653</v>
      </c>
      <c r="K17" s="8"/>
      <c r="L17" s="8" t="s">
        <v>1637</v>
      </c>
      <c r="M17" s="3" t="s">
        <v>1638</v>
      </c>
      <c r="N17" s="3"/>
      <c r="O17" s="5"/>
      <c r="P17" s="3"/>
      <c r="Q17" s="3" t="s">
        <v>1397</v>
      </c>
      <c r="R17" s="3"/>
      <c r="S17" s="3"/>
      <c r="T17" s="9"/>
      <c r="U17" s="3"/>
      <c r="V17" s="3"/>
      <c r="W17" s="3"/>
      <c r="X17" s="4"/>
      <c r="Y17" s="135">
        <v>872641.94</v>
      </c>
      <c r="Z17" s="135">
        <v>877445.92</v>
      </c>
      <c r="AA17" s="135">
        <v>885331.73</v>
      </c>
      <c r="AB17" s="135">
        <v>941302.75</v>
      </c>
      <c r="AC17" s="135">
        <v>961365.85</v>
      </c>
      <c r="AD17" s="135">
        <v>1106904.6299999999</v>
      </c>
      <c r="AE17" s="135">
        <v>1137857.43</v>
      </c>
      <c r="AF17" s="135">
        <v>1175741.3999999999</v>
      </c>
      <c r="AG17" s="135">
        <v>1221944.76</v>
      </c>
      <c r="AH17" s="135">
        <v>1246185.47</v>
      </c>
      <c r="AI17" s="135">
        <v>1272304.1299999999</v>
      </c>
      <c r="AJ17" s="135">
        <v>1318876.26</v>
      </c>
      <c r="AK17" s="135">
        <v>1365187.72</v>
      </c>
      <c r="AL17" s="135">
        <v>1376606.1699999997</v>
      </c>
      <c r="AM17" s="135">
        <v>1385723.3900000001</v>
      </c>
      <c r="AN17" s="135">
        <v>1396740.5999999999</v>
      </c>
      <c r="AO17" s="135">
        <v>1424915.8</v>
      </c>
      <c r="AP17" s="135">
        <v>1430619.77</v>
      </c>
    </row>
    <row r="18" spans="1:42">
      <c r="A18" s="1" t="s">
        <v>8</v>
      </c>
      <c r="B18" s="6" t="s">
        <v>1451</v>
      </c>
      <c r="C18" s="6" t="s">
        <v>1451</v>
      </c>
      <c r="D18" s="6" t="s">
        <v>1493</v>
      </c>
      <c r="E18" s="3" t="s">
        <v>1495</v>
      </c>
      <c r="F18" s="3" t="s">
        <v>1654</v>
      </c>
      <c r="G18" s="6" t="s">
        <v>1616</v>
      </c>
      <c r="H18" s="7">
        <v>1959557</v>
      </c>
      <c r="I18" s="2"/>
      <c r="J18" s="2" t="s">
        <v>1653</v>
      </c>
      <c r="K18" s="8"/>
      <c r="L18" s="8" t="s">
        <v>1637</v>
      </c>
      <c r="M18" s="3" t="s">
        <v>1641</v>
      </c>
      <c r="N18" s="3"/>
      <c r="O18" s="5"/>
      <c r="P18" s="3"/>
      <c r="Q18" s="3" t="s">
        <v>756</v>
      </c>
      <c r="R18" s="3"/>
      <c r="S18" s="3"/>
      <c r="T18" s="9"/>
      <c r="U18" s="3"/>
      <c r="V18" s="3"/>
      <c r="W18" s="3"/>
      <c r="X18" s="4"/>
      <c r="Y18" s="135">
        <v>3465084.07</v>
      </c>
      <c r="Z18" s="135">
        <v>3487622.22</v>
      </c>
      <c r="AA18" s="135">
        <v>3572893.76</v>
      </c>
      <c r="AB18" s="135">
        <v>3484057.14</v>
      </c>
      <c r="AC18" s="135">
        <v>3495785.02</v>
      </c>
      <c r="AD18" s="135">
        <v>3480882.77</v>
      </c>
      <c r="AE18" s="135">
        <v>3313261.5</v>
      </c>
      <c r="AF18" s="135">
        <v>3292501.05</v>
      </c>
      <c r="AG18" s="135">
        <v>3327440.01</v>
      </c>
      <c r="AH18" s="135">
        <v>3357051.32</v>
      </c>
      <c r="AI18" s="135">
        <v>3385577.46</v>
      </c>
      <c r="AJ18" s="135">
        <v>3618078.84</v>
      </c>
      <c r="AK18" s="135">
        <v>3284192.66</v>
      </c>
      <c r="AL18" s="135">
        <v>3209737.6500000004</v>
      </c>
      <c r="AM18" s="135">
        <v>3315720.100000001</v>
      </c>
      <c r="AN18" s="135">
        <v>3328358.11</v>
      </c>
      <c r="AO18" s="135">
        <v>3347309.18</v>
      </c>
      <c r="AP18" s="135">
        <v>3374295.4899999998</v>
      </c>
    </row>
    <row r="19" spans="1:42">
      <c r="A19" s="1" t="s">
        <v>8</v>
      </c>
      <c r="B19" s="6" t="s">
        <v>1443</v>
      </c>
      <c r="C19" s="6" t="s">
        <v>1664</v>
      </c>
      <c r="D19" s="6" t="s">
        <v>1443</v>
      </c>
      <c r="E19" s="3" t="s">
        <v>1495</v>
      </c>
      <c r="F19" s="3" t="s">
        <v>1654</v>
      </c>
      <c r="G19" s="6" t="s">
        <v>1605</v>
      </c>
      <c r="H19" s="7">
        <v>4164584</v>
      </c>
      <c r="I19" s="2"/>
      <c r="J19" s="2" t="s">
        <v>1653</v>
      </c>
      <c r="K19" s="8"/>
      <c r="L19" s="8" t="s">
        <v>1636</v>
      </c>
      <c r="M19" s="3" t="s">
        <v>1638</v>
      </c>
      <c r="N19" s="3"/>
      <c r="O19" s="5"/>
      <c r="P19" s="3"/>
      <c r="Q19" s="3" t="s">
        <v>756</v>
      </c>
      <c r="R19" s="3"/>
      <c r="S19" s="3"/>
      <c r="T19" s="9"/>
      <c r="U19" s="3"/>
      <c r="V19" s="3"/>
      <c r="W19" s="3"/>
      <c r="X19" s="4"/>
      <c r="Y19" s="135">
        <v>75499.03</v>
      </c>
      <c r="Z19" s="135">
        <v>76246.259999999995</v>
      </c>
      <c r="AA19" s="135">
        <v>76979.95</v>
      </c>
      <c r="AB19" s="135">
        <v>77801.06</v>
      </c>
      <c r="AC19" s="135">
        <v>78001.63</v>
      </c>
      <c r="AD19" s="135">
        <v>78863.3</v>
      </c>
      <c r="AE19" s="135">
        <v>79880.23</v>
      </c>
      <c r="AF19" s="135">
        <v>80810.880000000005</v>
      </c>
      <c r="AG19" s="135">
        <v>81668.639999999999</v>
      </c>
      <c r="AH19" s="135">
        <v>82717.960000000006</v>
      </c>
      <c r="AI19" s="135">
        <v>82740.22</v>
      </c>
      <c r="AJ19" s="135">
        <v>83752.490000000005</v>
      </c>
      <c r="AK19" s="135">
        <v>84694.399999999994</v>
      </c>
      <c r="AL19" s="135">
        <v>85546.53</v>
      </c>
      <c r="AM19" s="135">
        <v>86619.57</v>
      </c>
      <c r="AN19" s="135">
        <v>87568.97</v>
      </c>
      <c r="AO19" s="135">
        <v>87672.73000000001</v>
      </c>
      <c r="AP19" s="135">
        <v>88696.209999999992</v>
      </c>
    </row>
    <row r="20" spans="1:42">
      <c r="A20" s="1" t="s">
        <v>8</v>
      </c>
      <c r="B20" s="6" t="s">
        <v>1443</v>
      </c>
      <c r="C20" s="6" t="s">
        <v>1664</v>
      </c>
      <c r="D20" s="6" t="s">
        <v>1526</v>
      </c>
      <c r="E20" s="3" t="s">
        <v>1495</v>
      </c>
      <c r="F20" s="3" t="s">
        <v>1654</v>
      </c>
      <c r="G20" s="6" t="s">
        <v>1628</v>
      </c>
      <c r="H20" s="7">
        <v>9248969</v>
      </c>
      <c r="I20" s="2"/>
      <c r="J20" s="2" t="s">
        <v>1653</v>
      </c>
      <c r="K20" s="8"/>
      <c r="L20" s="8" t="s">
        <v>1636</v>
      </c>
      <c r="M20" s="3" t="s">
        <v>1643</v>
      </c>
      <c r="N20" s="3"/>
      <c r="O20" s="5"/>
      <c r="P20" s="3"/>
      <c r="Q20" s="3" t="s">
        <v>1397</v>
      </c>
      <c r="R20" s="3"/>
      <c r="S20" s="3"/>
      <c r="T20" s="9"/>
      <c r="U20" s="3"/>
      <c r="V20" s="3"/>
      <c r="W20" s="3"/>
      <c r="X20" s="4"/>
      <c r="Y20" s="135">
        <v>0</v>
      </c>
      <c r="Z20" s="135">
        <v>0</v>
      </c>
      <c r="AA20" s="135">
        <v>0</v>
      </c>
      <c r="AB20" s="135">
        <v>0</v>
      </c>
      <c r="AC20" s="135">
        <v>0</v>
      </c>
      <c r="AD20" s="135">
        <v>0</v>
      </c>
      <c r="AE20" s="135">
        <v>0</v>
      </c>
      <c r="AF20" s="135">
        <v>0</v>
      </c>
      <c r="AG20" s="135">
        <v>0</v>
      </c>
      <c r="AH20" s="135">
        <v>0</v>
      </c>
      <c r="AI20" s="135">
        <v>0</v>
      </c>
      <c r="AJ20" s="135">
        <v>0</v>
      </c>
      <c r="AK20" s="135">
        <v>0</v>
      </c>
      <c r="AL20" s="135">
        <v>0</v>
      </c>
      <c r="AM20" s="135">
        <v>100000</v>
      </c>
      <c r="AN20" s="135">
        <v>28349.99</v>
      </c>
      <c r="AO20" s="135" t="s">
        <v>1497</v>
      </c>
      <c r="AP20" s="135" t="s">
        <v>1497</v>
      </c>
    </row>
    <row r="21" spans="1:42">
      <c r="A21" s="1" t="s">
        <v>8</v>
      </c>
      <c r="B21" s="6" t="s">
        <v>1446</v>
      </c>
      <c r="C21" s="6" t="s">
        <v>1666</v>
      </c>
      <c r="D21" s="6" t="s">
        <v>1446</v>
      </c>
      <c r="E21" s="3" t="s">
        <v>1495</v>
      </c>
      <c r="F21" s="3" t="s">
        <v>1654</v>
      </c>
      <c r="G21" s="6" t="s">
        <v>1610</v>
      </c>
      <c r="H21" s="7">
        <v>4466342</v>
      </c>
      <c r="I21" s="2"/>
      <c r="J21" s="2" t="s">
        <v>1653</v>
      </c>
      <c r="K21" s="8"/>
      <c r="L21" s="8" t="s">
        <v>1637</v>
      </c>
      <c r="M21" s="3" t="s">
        <v>1642</v>
      </c>
      <c r="N21" s="3"/>
      <c r="O21" s="5"/>
      <c r="P21" s="3"/>
      <c r="Q21" s="3" t="s">
        <v>1397</v>
      </c>
      <c r="R21" s="3"/>
      <c r="S21" s="3"/>
      <c r="T21" s="9"/>
      <c r="U21" s="3"/>
      <c r="V21" s="3"/>
      <c r="W21" s="3"/>
      <c r="X21" s="4"/>
      <c r="Y21" s="135">
        <v>5115402.3</v>
      </c>
      <c r="Z21" s="135">
        <v>5085449.8</v>
      </c>
      <c r="AA21" s="135">
        <v>5150290.9400000004</v>
      </c>
      <c r="AB21" s="135" t="s">
        <v>1651</v>
      </c>
      <c r="AC21" s="135">
        <v>4929699.9400000004</v>
      </c>
      <c r="AD21" s="135">
        <v>4702841.3600000003</v>
      </c>
      <c r="AE21" s="135">
        <v>4558610.6900000004</v>
      </c>
      <c r="AF21" s="135">
        <v>4482193.54</v>
      </c>
      <c r="AG21" s="135">
        <v>4306039.22</v>
      </c>
      <c r="AH21" s="135">
        <v>4277891.4800000004</v>
      </c>
      <c r="AI21" s="135">
        <v>3430063.02</v>
      </c>
      <c r="AJ21" s="135">
        <v>3351041.86</v>
      </c>
      <c r="AK21" s="135">
        <v>3256041.9800000004</v>
      </c>
      <c r="AL21" s="135">
        <v>2944572.87</v>
      </c>
      <c r="AM21" s="135">
        <v>2171882.83</v>
      </c>
      <c r="AN21" s="135">
        <v>2131982.7600000002</v>
      </c>
      <c r="AO21" s="135">
        <v>2106425.41</v>
      </c>
      <c r="AP21" s="135">
        <v>2122025.6399999997</v>
      </c>
    </row>
    <row r="22" spans="1:42">
      <c r="A22" s="1" t="s">
        <v>1658</v>
      </c>
      <c r="B22" s="6" t="s">
        <v>1515</v>
      </c>
      <c r="C22" s="6" t="s">
        <v>1659</v>
      </c>
      <c r="D22" s="6" t="s">
        <v>1453</v>
      </c>
      <c r="E22" s="3" t="s">
        <v>1496</v>
      </c>
      <c r="F22" s="3" t="s">
        <v>1654</v>
      </c>
      <c r="G22" s="6" t="s">
        <v>1532</v>
      </c>
      <c r="H22" s="7">
        <v>85021853</v>
      </c>
      <c r="I22" s="2"/>
      <c r="J22" s="2" t="s">
        <v>1652</v>
      </c>
      <c r="K22" s="8"/>
      <c r="L22" s="8" t="s">
        <v>1636</v>
      </c>
      <c r="M22" s="3" t="s">
        <v>15</v>
      </c>
      <c r="N22" s="3"/>
      <c r="O22" s="5"/>
      <c r="P22" s="3"/>
      <c r="Q22" s="3" t="s">
        <v>756</v>
      </c>
      <c r="R22" s="3"/>
      <c r="S22" s="3"/>
      <c r="T22" s="9"/>
      <c r="U22" s="3"/>
      <c r="V22" s="3"/>
      <c r="W22" s="3"/>
      <c r="X22" s="4"/>
      <c r="Y22" s="137">
        <v>0</v>
      </c>
      <c r="Z22" s="137">
        <v>0</v>
      </c>
      <c r="AA22" s="137">
        <v>0</v>
      </c>
      <c r="AB22" s="137">
        <v>0</v>
      </c>
      <c r="AC22" s="137">
        <v>0</v>
      </c>
      <c r="AD22" s="137">
        <v>0</v>
      </c>
      <c r="AE22" s="137">
        <v>0</v>
      </c>
      <c r="AF22" s="137">
        <v>0</v>
      </c>
      <c r="AG22" s="137">
        <v>0</v>
      </c>
      <c r="AH22" s="137">
        <v>0</v>
      </c>
      <c r="AI22" s="137">
        <v>0</v>
      </c>
      <c r="AJ22" s="137">
        <v>0</v>
      </c>
      <c r="AK22" s="137">
        <v>234769.34</v>
      </c>
      <c r="AL22" s="137">
        <v>232703.22</v>
      </c>
      <c r="AM22" s="137">
        <v>235732.54</v>
      </c>
      <c r="AN22" s="137">
        <v>230975.67</v>
      </c>
      <c r="AO22" s="137">
        <v>229481.74</v>
      </c>
      <c r="AP22" s="137">
        <v>235086.09</v>
      </c>
    </row>
    <row r="23" spans="1:42">
      <c r="A23" s="1" t="s">
        <v>1658</v>
      </c>
      <c r="B23" s="6" t="s">
        <v>1403</v>
      </c>
      <c r="C23" s="6" t="s">
        <v>1659</v>
      </c>
      <c r="D23" s="6" t="s">
        <v>1453</v>
      </c>
      <c r="E23" s="3" t="s">
        <v>1496</v>
      </c>
      <c r="F23" s="3" t="s">
        <v>1654</v>
      </c>
      <c r="G23" s="6" t="s">
        <v>1533</v>
      </c>
      <c r="H23" s="7">
        <v>35704002</v>
      </c>
      <c r="I23" s="2"/>
      <c r="J23" s="2" t="s">
        <v>1652</v>
      </c>
      <c r="K23" s="8"/>
      <c r="L23" s="8" t="s">
        <v>1636</v>
      </c>
      <c r="M23" s="3" t="s">
        <v>15</v>
      </c>
      <c r="N23" s="3"/>
      <c r="O23" s="5"/>
      <c r="P23" s="3"/>
      <c r="Q23" s="3" t="s">
        <v>756</v>
      </c>
      <c r="R23" s="3"/>
      <c r="S23" s="3"/>
      <c r="T23" s="9"/>
      <c r="U23" s="3"/>
      <c r="V23" s="3"/>
      <c r="W23" s="3"/>
      <c r="X23" s="4"/>
      <c r="Y23" s="134">
        <v>0</v>
      </c>
      <c r="Z23" s="134">
        <v>0</v>
      </c>
      <c r="AA23" s="134">
        <v>0</v>
      </c>
      <c r="AB23" s="134">
        <v>0</v>
      </c>
      <c r="AC23" s="134">
        <v>0</v>
      </c>
      <c r="AD23" s="134">
        <v>0</v>
      </c>
      <c r="AE23" s="134">
        <v>0</v>
      </c>
      <c r="AF23" s="134">
        <v>0</v>
      </c>
      <c r="AG23" s="134">
        <v>0</v>
      </c>
      <c r="AH23" s="134">
        <v>0</v>
      </c>
      <c r="AI23" s="134">
        <v>0</v>
      </c>
      <c r="AJ23" s="134">
        <v>0</v>
      </c>
      <c r="AK23" s="134">
        <v>7414.92</v>
      </c>
      <c r="AL23" s="134">
        <v>122657.41</v>
      </c>
      <c r="AM23" s="134">
        <v>122853.14</v>
      </c>
      <c r="AN23" s="134">
        <v>120608.12</v>
      </c>
      <c r="AO23" s="137">
        <v>168874.29</v>
      </c>
      <c r="AP23" s="137">
        <v>170930.03</v>
      </c>
    </row>
    <row r="24" spans="1:42">
      <c r="A24" s="1" t="s">
        <v>1658</v>
      </c>
      <c r="B24" s="6" t="s">
        <v>1406</v>
      </c>
      <c r="C24" s="6" t="s">
        <v>1662</v>
      </c>
      <c r="D24" s="6" t="s">
        <v>1454</v>
      </c>
      <c r="E24" s="3" t="s">
        <v>1495</v>
      </c>
      <c r="F24" s="3" t="s">
        <v>1655</v>
      </c>
      <c r="G24" s="6" t="s">
        <v>1537</v>
      </c>
      <c r="H24" s="7">
        <v>53076915</v>
      </c>
      <c r="I24" s="2"/>
      <c r="J24" s="2" t="s">
        <v>1652</v>
      </c>
      <c r="K24" s="8"/>
      <c r="L24" s="8" t="s">
        <v>1636</v>
      </c>
      <c r="M24" s="3" t="s">
        <v>1639</v>
      </c>
      <c r="N24" s="3"/>
      <c r="O24" s="5"/>
      <c r="P24" s="3"/>
      <c r="Q24" s="3" t="s">
        <v>756</v>
      </c>
      <c r="R24" s="3"/>
      <c r="S24" s="3"/>
      <c r="T24" s="9"/>
      <c r="U24" s="3"/>
      <c r="V24" s="3"/>
      <c r="W24" s="3"/>
      <c r="X24" s="4"/>
      <c r="Y24" s="134">
        <v>0</v>
      </c>
      <c r="Z24" s="134">
        <v>0</v>
      </c>
      <c r="AA24" s="134">
        <v>0</v>
      </c>
      <c r="AB24" s="134">
        <v>0</v>
      </c>
      <c r="AC24" s="134">
        <v>0</v>
      </c>
      <c r="AD24" s="134">
        <v>1007776.27</v>
      </c>
      <c r="AE24" s="134">
        <v>1255074.07</v>
      </c>
      <c r="AF24" s="134">
        <v>1262724.1000000001</v>
      </c>
      <c r="AG24" s="134">
        <v>670.55</v>
      </c>
      <c r="AH24" s="134">
        <v>670.38</v>
      </c>
      <c r="AI24" s="134">
        <v>237819.66</v>
      </c>
      <c r="AJ24" s="134">
        <v>238673.46</v>
      </c>
      <c r="AK24" s="134">
        <v>239303.49</v>
      </c>
      <c r="AL24" s="134">
        <v>239904.8</v>
      </c>
      <c r="AM24" s="134">
        <v>240546.4</v>
      </c>
      <c r="AN24" s="134">
        <v>241224.66</v>
      </c>
      <c r="AO24" s="137">
        <v>238669.22</v>
      </c>
      <c r="AP24" s="137">
        <v>238283.26</v>
      </c>
    </row>
    <row r="25" spans="1:42">
      <c r="A25" s="1" t="s">
        <v>1658</v>
      </c>
      <c r="B25" s="6" t="s">
        <v>1407</v>
      </c>
      <c r="C25" s="6" t="s">
        <v>1407</v>
      </c>
      <c r="D25" s="6" t="s">
        <v>1407</v>
      </c>
      <c r="E25" s="3" t="s">
        <v>1495</v>
      </c>
      <c r="F25" s="3" t="s">
        <v>1654</v>
      </c>
      <c r="G25" s="6" t="s">
        <v>1539</v>
      </c>
      <c r="H25" s="7">
        <v>27109027</v>
      </c>
      <c r="I25" s="2"/>
      <c r="J25" s="2" t="s">
        <v>1652</v>
      </c>
      <c r="K25" s="8"/>
      <c r="L25" s="8" t="s">
        <v>1636</v>
      </c>
      <c r="M25" s="3" t="s">
        <v>15</v>
      </c>
      <c r="N25" s="3"/>
      <c r="O25" s="5"/>
      <c r="P25" s="3"/>
      <c r="Q25" s="3" t="s">
        <v>756</v>
      </c>
      <c r="R25" s="3"/>
      <c r="S25" s="3"/>
      <c r="T25" s="9"/>
      <c r="U25" s="3"/>
      <c r="V25" s="3"/>
      <c r="W25" s="3"/>
      <c r="X25" s="4"/>
      <c r="Y25" s="134">
        <v>385.02</v>
      </c>
      <c r="Z25" s="134">
        <v>20779.900000000001</v>
      </c>
      <c r="AA25" s="134">
        <v>40922.57</v>
      </c>
      <c r="AB25" s="134">
        <v>40454.910000000003</v>
      </c>
      <c r="AC25" s="134">
        <v>59873.38</v>
      </c>
      <c r="AD25" s="134">
        <v>61564.24</v>
      </c>
      <c r="AE25" s="134">
        <v>61651.62</v>
      </c>
      <c r="AF25" s="134">
        <v>62080.55</v>
      </c>
      <c r="AG25" s="134">
        <v>64490.59</v>
      </c>
      <c r="AH25" s="134">
        <v>265233.73</v>
      </c>
      <c r="AI25" s="134">
        <v>266475.59999999998</v>
      </c>
      <c r="AJ25" s="134">
        <v>263711.76</v>
      </c>
      <c r="AK25" s="134">
        <v>265377.33</v>
      </c>
      <c r="AL25" s="134">
        <v>269298.03999999998</v>
      </c>
      <c r="AM25" s="134">
        <v>261768.53</v>
      </c>
      <c r="AN25" s="134">
        <v>265150.59000000003</v>
      </c>
      <c r="AO25" s="137">
        <v>265057.96000000002</v>
      </c>
      <c r="AP25" s="137">
        <v>267117.33</v>
      </c>
    </row>
    <row r="26" spans="1:42">
      <c r="A26" s="1" t="s">
        <v>1658</v>
      </c>
      <c r="B26" s="6" t="s">
        <v>1408</v>
      </c>
      <c r="C26" s="6" t="s">
        <v>1408</v>
      </c>
      <c r="D26" s="6" t="s">
        <v>1457</v>
      </c>
      <c r="E26" s="3" t="s">
        <v>1495</v>
      </c>
      <c r="F26" s="3" t="s">
        <v>1654</v>
      </c>
      <c r="G26" s="6" t="s">
        <v>1540</v>
      </c>
      <c r="H26" s="7">
        <v>98792193</v>
      </c>
      <c r="I26" s="2"/>
      <c r="J26" s="2" t="s">
        <v>1652</v>
      </c>
      <c r="K26" s="8"/>
      <c r="L26" s="8" t="s">
        <v>1636</v>
      </c>
      <c r="M26" s="3" t="s">
        <v>15</v>
      </c>
      <c r="N26" s="3"/>
      <c r="O26" s="5"/>
      <c r="P26" s="3"/>
      <c r="Q26" s="3" t="s">
        <v>1397</v>
      </c>
      <c r="R26" s="3"/>
      <c r="S26" s="3"/>
      <c r="T26" s="9"/>
      <c r="U26" s="3"/>
      <c r="V26" s="3"/>
      <c r="W26" s="3"/>
      <c r="X26" s="4"/>
      <c r="Y26" s="134">
        <v>117723.7</v>
      </c>
      <c r="Z26" s="134">
        <v>121168.71</v>
      </c>
      <c r="AA26" s="134">
        <v>167549.84</v>
      </c>
      <c r="AB26" s="134">
        <v>165923.42000000001</v>
      </c>
      <c r="AC26" s="134">
        <v>164408.41</v>
      </c>
      <c r="AD26" s="134">
        <v>167611.60999999999</v>
      </c>
      <c r="AE26" s="134">
        <v>164587.5</v>
      </c>
      <c r="AF26" s="134">
        <v>183672.37</v>
      </c>
      <c r="AG26" s="134">
        <v>188341.4</v>
      </c>
      <c r="AH26" s="134">
        <v>204257.86</v>
      </c>
      <c r="AI26" s="134">
        <v>206912.14</v>
      </c>
      <c r="AJ26" s="134">
        <v>203748.61</v>
      </c>
      <c r="AK26" s="134">
        <v>206060.54</v>
      </c>
      <c r="AL26" s="134">
        <v>211049.46</v>
      </c>
      <c r="AM26" s="134">
        <v>251465.09</v>
      </c>
      <c r="AN26" s="134">
        <v>255808.56</v>
      </c>
      <c r="AO26" s="137">
        <v>254756.17</v>
      </c>
      <c r="AP26" s="137">
        <v>255887.6</v>
      </c>
    </row>
    <row r="27" spans="1:42">
      <c r="A27" s="1" t="s">
        <v>1658</v>
      </c>
      <c r="B27" s="6" t="s">
        <v>1523</v>
      </c>
      <c r="C27" s="6" t="s">
        <v>1523</v>
      </c>
      <c r="D27" s="6" t="s">
        <v>1523</v>
      </c>
      <c r="E27" s="3" t="s">
        <v>1496</v>
      </c>
      <c r="F27" s="3" t="s">
        <v>1654</v>
      </c>
      <c r="G27" s="6" t="s">
        <v>1633</v>
      </c>
      <c r="H27" s="7">
        <v>63338577</v>
      </c>
      <c r="I27" s="2"/>
      <c r="J27" s="2" t="s">
        <v>1653</v>
      </c>
      <c r="K27" s="8"/>
      <c r="L27" s="8" t="s">
        <v>1636</v>
      </c>
      <c r="M27" s="3" t="s">
        <v>1643</v>
      </c>
      <c r="N27" s="3"/>
      <c r="O27" s="5"/>
      <c r="P27" s="3"/>
      <c r="Q27" s="3" t="s">
        <v>1397</v>
      </c>
      <c r="R27" s="3"/>
      <c r="S27" s="3"/>
      <c r="T27" s="9"/>
      <c r="U27" s="3"/>
      <c r="V27" s="3"/>
      <c r="W27" s="3"/>
      <c r="X27" s="4"/>
      <c r="Y27" s="134">
        <v>0</v>
      </c>
      <c r="Z27" s="134">
        <v>0</v>
      </c>
      <c r="AA27" s="134">
        <v>0</v>
      </c>
      <c r="AB27" s="134">
        <v>0</v>
      </c>
      <c r="AC27" s="134">
        <v>0</v>
      </c>
      <c r="AD27" s="134">
        <v>0</v>
      </c>
      <c r="AE27" s="134">
        <v>0</v>
      </c>
      <c r="AF27" s="134">
        <v>0</v>
      </c>
      <c r="AG27" s="134">
        <v>0</v>
      </c>
      <c r="AH27" s="134">
        <v>0</v>
      </c>
      <c r="AI27" s="134">
        <v>0</v>
      </c>
      <c r="AJ27" s="134">
        <v>0</v>
      </c>
      <c r="AK27" s="134">
        <v>0</v>
      </c>
      <c r="AL27" s="134">
        <v>0</v>
      </c>
      <c r="AM27" s="134">
        <v>0</v>
      </c>
      <c r="AN27" s="134">
        <v>0</v>
      </c>
      <c r="AO27" s="137">
        <v>0</v>
      </c>
      <c r="AP27" s="137">
        <v>0</v>
      </c>
    </row>
    <row r="28" spans="1:42">
      <c r="A28" s="1" t="s">
        <v>1658</v>
      </c>
      <c r="B28" s="6" t="s">
        <v>1431</v>
      </c>
      <c r="C28" s="6" t="s">
        <v>1431</v>
      </c>
      <c r="D28" s="6" t="s">
        <v>1481</v>
      </c>
      <c r="E28" s="3" t="s">
        <v>1496</v>
      </c>
      <c r="F28" s="3" t="s">
        <v>1654</v>
      </c>
      <c r="G28" s="6" t="s">
        <v>1587</v>
      </c>
      <c r="H28" s="7">
        <v>65431389</v>
      </c>
      <c r="I28" s="2"/>
      <c r="J28" s="2" t="s">
        <v>1652</v>
      </c>
      <c r="K28" s="8"/>
      <c r="L28" s="8" t="s">
        <v>1636</v>
      </c>
      <c r="M28" s="3" t="s">
        <v>1640</v>
      </c>
      <c r="N28" s="3"/>
      <c r="O28" s="5"/>
      <c r="P28" s="3"/>
      <c r="Q28" s="3" t="s">
        <v>756</v>
      </c>
      <c r="R28" s="3"/>
      <c r="S28" s="3"/>
      <c r="T28" s="9"/>
      <c r="U28" s="3"/>
      <c r="V28" s="3"/>
      <c r="W28" s="3"/>
      <c r="X28" s="4"/>
      <c r="Y28" s="134">
        <v>0</v>
      </c>
      <c r="Z28" s="134">
        <v>0</v>
      </c>
      <c r="AA28" s="134">
        <v>0</v>
      </c>
      <c r="AB28" s="134">
        <v>0</v>
      </c>
      <c r="AC28" s="134">
        <v>0</v>
      </c>
      <c r="AD28" s="134">
        <v>0</v>
      </c>
      <c r="AE28" s="134">
        <v>128044.75</v>
      </c>
      <c r="AF28" s="134">
        <v>128688.7</v>
      </c>
      <c r="AG28" s="134">
        <v>126611.81</v>
      </c>
      <c r="AH28" s="134">
        <v>126987.79</v>
      </c>
      <c r="AI28" s="134">
        <v>124093.7</v>
      </c>
      <c r="AJ28" s="134">
        <v>124475.96</v>
      </c>
      <c r="AK28" s="134">
        <v>124761.51</v>
      </c>
      <c r="AL28" s="134">
        <v>125027.49</v>
      </c>
      <c r="AM28" s="134">
        <v>120193.67</v>
      </c>
      <c r="AN28" s="134">
        <v>120443.58</v>
      </c>
      <c r="AO28" s="137">
        <v>119600.89</v>
      </c>
      <c r="AP28" s="137">
        <v>119525.07</v>
      </c>
    </row>
    <row r="29" spans="1:42">
      <c r="A29" s="1" t="s">
        <v>1658</v>
      </c>
      <c r="B29" s="6" t="s">
        <v>1414</v>
      </c>
      <c r="C29" s="6" t="s">
        <v>1414</v>
      </c>
      <c r="D29" s="6" t="s">
        <v>1465</v>
      </c>
      <c r="E29" s="3" t="s">
        <v>1495</v>
      </c>
      <c r="F29" s="3" t="s">
        <v>1654</v>
      </c>
      <c r="G29" s="6" t="s">
        <v>1556</v>
      </c>
      <c r="H29" s="7">
        <v>51121087</v>
      </c>
      <c r="I29" s="2"/>
      <c r="J29" s="2" t="s">
        <v>1652</v>
      </c>
      <c r="K29" s="8"/>
      <c r="L29" s="8" t="s">
        <v>1636</v>
      </c>
      <c r="M29" s="3" t="s">
        <v>1638</v>
      </c>
      <c r="N29" s="3"/>
      <c r="O29" s="5"/>
      <c r="P29" s="3"/>
      <c r="Q29" s="3" t="s">
        <v>756</v>
      </c>
      <c r="R29" s="3"/>
      <c r="S29" s="3"/>
      <c r="T29" s="9"/>
      <c r="U29" s="3"/>
      <c r="V29" s="3"/>
      <c r="W29" s="3"/>
      <c r="X29" s="4"/>
      <c r="Y29" s="134">
        <v>119621.46</v>
      </c>
      <c r="Z29" s="134">
        <v>119983.61</v>
      </c>
      <c r="AA29" s="134">
        <v>116200.76</v>
      </c>
      <c r="AB29" s="134">
        <v>113751.85</v>
      </c>
      <c r="AC29" s="134">
        <v>117548.54</v>
      </c>
      <c r="AD29" s="134">
        <v>121893.67</v>
      </c>
      <c r="AE29" s="134">
        <v>123183.64</v>
      </c>
      <c r="AF29" s="134">
        <v>127623.71</v>
      </c>
      <c r="AG29" s="134">
        <v>130889.16</v>
      </c>
      <c r="AH29" s="134">
        <v>131736.65</v>
      </c>
      <c r="AI29" s="134">
        <v>132755.04</v>
      </c>
      <c r="AJ29" s="134">
        <v>131869.19</v>
      </c>
      <c r="AK29" s="134">
        <v>135832.70000000001</v>
      </c>
      <c r="AL29" s="134">
        <v>136911.45000000001</v>
      </c>
      <c r="AM29" s="134">
        <v>130689.63</v>
      </c>
      <c r="AN29" s="134">
        <v>139757.76000000001</v>
      </c>
      <c r="AO29" s="137">
        <v>143086.76999999999</v>
      </c>
      <c r="AP29" s="137">
        <v>142984.16</v>
      </c>
    </row>
    <row r="30" spans="1:42">
      <c r="A30" s="1" t="s">
        <v>1658</v>
      </c>
      <c r="B30" s="6" t="s">
        <v>1411</v>
      </c>
      <c r="C30" s="6" t="s">
        <v>1411</v>
      </c>
      <c r="D30" s="6" t="s">
        <v>1461</v>
      </c>
      <c r="E30" s="3" t="s">
        <v>1495</v>
      </c>
      <c r="F30" s="3" t="s">
        <v>1654</v>
      </c>
      <c r="G30" s="138" t="s">
        <v>1546</v>
      </c>
      <c r="H30" s="7">
        <v>83075437</v>
      </c>
      <c r="I30" s="2"/>
      <c r="J30" s="2" t="s">
        <v>1652</v>
      </c>
      <c r="K30" s="8"/>
      <c r="L30" s="8" t="s">
        <v>1636</v>
      </c>
      <c r="M30" s="3" t="s">
        <v>1641</v>
      </c>
      <c r="N30" s="3"/>
      <c r="O30" s="5"/>
      <c r="P30" s="3"/>
      <c r="Q30" s="3" t="s">
        <v>756</v>
      </c>
      <c r="R30" s="3"/>
      <c r="S30" s="3"/>
      <c r="T30" s="9"/>
      <c r="U30" s="3"/>
      <c r="V30" s="3"/>
      <c r="W30" s="3"/>
      <c r="X30" s="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34"/>
      <c r="AM30" s="134"/>
      <c r="AN30" s="134"/>
      <c r="AO30" s="137">
        <v>0</v>
      </c>
      <c r="AP30" s="137">
        <v>0</v>
      </c>
    </row>
    <row r="31" spans="1:42">
      <c r="A31" s="1" t="s">
        <v>1658</v>
      </c>
      <c r="B31" s="6" t="s">
        <v>1438</v>
      </c>
      <c r="C31" s="6" t="s">
        <v>1667</v>
      </c>
      <c r="D31" s="6" t="s">
        <v>1486</v>
      </c>
      <c r="E31" s="3" t="s">
        <v>1496</v>
      </c>
      <c r="F31" s="3" t="s">
        <v>1654</v>
      </c>
      <c r="G31" s="6" t="s">
        <v>1596</v>
      </c>
      <c r="H31" s="7">
        <v>58792416</v>
      </c>
      <c r="I31" s="2"/>
      <c r="J31" s="2" t="s">
        <v>1652</v>
      </c>
      <c r="K31" s="8"/>
      <c r="L31" s="8" t="s">
        <v>1636</v>
      </c>
      <c r="M31" s="3" t="s">
        <v>1644</v>
      </c>
      <c r="N31" s="3"/>
      <c r="O31" s="5"/>
      <c r="P31" s="3"/>
      <c r="Q31" s="3" t="s">
        <v>1397</v>
      </c>
      <c r="R31" s="3"/>
      <c r="S31" s="3"/>
      <c r="T31" s="9"/>
      <c r="U31" s="3"/>
      <c r="V31" s="3"/>
      <c r="W31" s="3"/>
      <c r="X31" s="4"/>
      <c r="Y31" s="134">
        <v>0</v>
      </c>
      <c r="Z31" s="134">
        <v>0</v>
      </c>
      <c r="AA31" s="134">
        <v>0</v>
      </c>
      <c r="AB31" s="134">
        <v>0</v>
      </c>
      <c r="AC31" s="134">
        <v>0</v>
      </c>
      <c r="AD31" s="134">
        <v>0</v>
      </c>
      <c r="AE31" s="134">
        <v>0</v>
      </c>
      <c r="AF31" s="134">
        <v>0</v>
      </c>
      <c r="AG31" s="134">
        <v>0</v>
      </c>
      <c r="AH31" s="134">
        <v>1000</v>
      </c>
      <c r="AI31" s="134">
        <v>73253.67</v>
      </c>
      <c r="AJ31" s="134">
        <v>71922.33</v>
      </c>
      <c r="AK31" s="134">
        <v>72107.53</v>
      </c>
      <c r="AL31" s="134">
        <v>74662.740000000005</v>
      </c>
      <c r="AM31" s="134">
        <v>71167.58</v>
      </c>
      <c r="AN31" s="134">
        <v>71571.33</v>
      </c>
      <c r="AO31" s="137">
        <v>91555.9</v>
      </c>
      <c r="AP31" s="137">
        <v>93054.45</v>
      </c>
    </row>
    <row r="32" spans="1:42">
      <c r="A32" s="1" t="s">
        <v>1658</v>
      </c>
      <c r="B32" s="6" t="s">
        <v>1411</v>
      </c>
      <c r="C32" s="6" t="s">
        <v>1411</v>
      </c>
      <c r="D32" s="6" t="s">
        <v>1462</v>
      </c>
      <c r="E32" s="3" t="s">
        <v>1496</v>
      </c>
      <c r="F32" s="3" t="s">
        <v>1654</v>
      </c>
      <c r="G32" s="6" t="s">
        <v>1546</v>
      </c>
      <c r="H32" s="7">
        <v>73800696</v>
      </c>
      <c r="I32" s="2"/>
      <c r="J32" s="2" t="s">
        <v>1652</v>
      </c>
      <c r="K32" s="8"/>
      <c r="L32" s="8" t="s">
        <v>1636</v>
      </c>
      <c r="M32" s="3" t="s">
        <v>1641</v>
      </c>
      <c r="N32" s="3"/>
      <c r="O32" s="5"/>
      <c r="P32" s="3"/>
      <c r="Q32" s="3" t="s">
        <v>756</v>
      </c>
      <c r="R32" s="3"/>
      <c r="S32" s="3"/>
      <c r="T32" s="9"/>
      <c r="U32" s="3"/>
      <c r="V32" s="3"/>
      <c r="W32" s="3"/>
      <c r="X32" s="4"/>
      <c r="Y32" s="134">
        <v>0</v>
      </c>
      <c r="Z32" s="134">
        <v>0</v>
      </c>
      <c r="AA32" s="134">
        <v>0</v>
      </c>
      <c r="AB32" s="134">
        <v>0</v>
      </c>
      <c r="AC32" s="134">
        <v>0</v>
      </c>
      <c r="AD32" s="134">
        <v>95422.43</v>
      </c>
      <c r="AE32" s="134">
        <v>754202.19</v>
      </c>
      <c r="AF32" s="134">
        <v>769390.24</v>
      </c>
      <c r="AG32" s="134">
        <v>782509.42</v>
      </c>
      <c r="AH32" s="134">
        <v>796775.95</v>
      </c>
      <c r="AI32" s="134">
        <v>841130.93</v>
      </c>
      <c r="AJ32" s="134">
        <v>803763.09</v>
      </c>
      <c r="AK32" s="134">
        <v>807290.53</v>
      </c>
      <c r="AL32" s="134">
        <v>831988.14</v>
      </c>
      <c r="AM32" s="134">
        <v>800646.57</v>
      </c>
      <c r="AN32" s="134">
        <v>824052.13</v>
      </c>
      <c r="AO32" s="137">
        <v>830749.37</v>
      </c>
      <c r="AP32" s="137">
        <v>833724.35</v>
      </c>
    </row>
    <row r="33" spans="1:42">
      <c r="A33" s="1" t="s">
        <v>1658</v>
      </c>
      <c r="B33" s="6" t="s">
        <v>1413</v>
      </c>
      <c r="C33" s="6" t="s">
        <v>1413</v>
      </c>
      <c r="D33" s="6" t="s">
        <v>1464</v>
      </c>
      <c r="E33" s="3" t="s">
        <v>1495</v>
      </c>
      <c r="F33" s="3" t="s">
        <v>1669</v>
      </c>
      <c r="G33" s="6" t="s">
        <v>1554</v>
      </c>
      <c r="H33" s="7">
        <v>83140110</v>
      </c>
      <c r="I33" s="2"/>
      <c r="J33" s="2" t="s">
        <v>1652</v>
      </c>
      <c r="K33" s="8"/>
      <c r="L33" s="8" t="s">
        <v>1636</v>
      </c>
      <c r="M33" s="3" t="s">
        <v>1640</v>
      </c>
      <c r="N33" s="3"/>
      <c r="O33" s="5"/>
      <c r="P33" s="3"/>
      <c r="Q33" s="3" t="s">
        <v>756</v>
      </c>
      <c r="R33" s="3"/>
      <c r="S33" s="3"/>
      <c r="T33" s="9"/>
      <c r="U33" s="3"/>
      <c r="V33" s="3"/>
      <c r="W33" s="3"/>
      <c r="X33" s="4"/>
      <c r="Y33" s="134">
        <v>0</v>
      </c>
      <c r="Z33" s="134">
        <v>67026.210000000006</v>
      </c>
      <c r="AA33" s="134">
        <v>100844.67</v>
      </c>
      <c r="AB33" s="134">
        <v>133437.76999999999</v>
      </c>
      <c r="AC33" s="134">
        <v>166620.04999999999</v>
      </c>
      <c r="AD33" s="134">
        <v>210531.43</v>
      </c>
      <c r="AE33" s="134">
        <v>246503.72</v>
      </c>
      <c r="AF33" s="134">
        <v>282933.57</v>
      </c>
      <c r="AG33" s="134">
        <v>329896.39</v>
      </c>
      <c r="AH33" s="134">
        <v>611561.63</v>
      </c>
      <c r="AI33" s="134">
        <v>655510.67000000004</v>
      </c>
      <c r="AJ33" s="134">
        <v>679727.43</v>
      </c>
      <c r="AK33" s="134">
        <v>715112.31</v>
      </c>
      <c r="AL33" s="134">
        <v>780721.74</v>
      </c>
      <c r="AM33" s="134">
        <v>777132.94</v>
      </c>
      <c r="AN33" s="134">
        <v>824273.49</v>
      </c>
      <c r="AO33" s="137">
        <v>863537.41</v>
      </c>
      <c r="AP33" s="137">
        <v>920375.94</v>
      </c>
    </row>
    <row r="34" spans="1:42">
      <c r="A34" s="1" t="s">
        <v>1658</v>
      </c>
      <c r="B34" s="6" t="s">
        <v>1518</v>
      </c>
      <c r="C34" s="6" t="s">
        <v>1518</v>
      </c>
      <c r="D34" s="6" t="s">
        <v>1528</v>
      </c>
      <c r="E34" s="3" t="s">
        <v>1495</v>
      </c>
      <c r="F34" s="3" t="s">
        <v>1654</v>
      </c>
      <c r="G34" s="6" t="s">
        <v>1632</v>
      </c>
      <c r="H34" s="7">
        <v>23638180</v>
      </c>
      <c r="I34" s="2"/>
      <c r="J34" s="2" t="s">
        <v>1652</v>
      </c>
      <c r="K34" s="8"/>
      <c r="L34" s="8" t="s">
        <v>1636</v>
      </c>
      <c r="M34" s="3" t="s">
        <v>1644</v>
      </c>
      <c r="N34" s="3"/>
      <c r="O34" s="5"/>
      <c r="P34" s="3"/>
      <c r="Q34" s="3" t="s">
        <v>1397</v>
      </c>
      <c r="R34" s="3"/>
      <c r="S34" s="3"/>
      <c r="T34" s="9"/>
      <c r="U34" s="3"/>
      <c r="V34" s="3"/>
      <c r="W34" s="3"/>
      <c r="X34" s="4"/>
      <c r="Y34" s="134">
        <v>0</v>
      </c>
      <c r="Z34" s="134">
        <v>0</v>
      </c>
      <c r="AA34" s="134">
        <v>0</v>
      </c>
      <c r="AB34" s="134">
        <v>0</v>
      </c>
      <c r="AC34" s="134">
        <v>0</v>
      </c>
      <c r="AD34" s="134">
        <v>0</v>
      </c>
      <c r="AE34" s="134">
        <v>0</v>
      </c>
      <c r="AF34" s="134">
        <v>0</v>
      </c>
      <c r="AG34" s="134">
        <v>0</v>
      </c>
      <c r="AH34" s="134">
        <v>0</v>
      </c>
      <c r="AI34" s="134">
        <v>0</v>
      </c>
      <c r="AJ34" s="134">
        <v>0</v>
      </c>
      <c r="AK34" s="134">
        <v>0</v>
      </c>
      <c r="AL34" s="134">
        <v>0</v>
      </c>
      <c r="AM34" s="134">
        <v>0</v>
      </c>
      <c r="AN34" s="134">
        <v>231075.28</v>
      </c>
      <c r="AO34" s="137">
        <v>229887.28</v>
      </c>
      <c r="AP34" s="137">
        <v>233361.89</v>
      </c>
    </row>
    <row r="35" spans="1:42">
      <c r="A35" s="1" t="s">
        <v>1658</v>
      </c>
      <c r="B35" s="6" t="s">
        <v>1428</v>
      </c>
      <c r="C35" s="6" t="s">
        <v>1661</v>
      </c>
      <c r="D35" s="6" t="s">
        <v>1477</v>
      </c>
      <c r="E35" s="3" t="s">
        <v>1496</v>
      </c>
      <c r="F35" s="3" t="s">
        <v>1669</v>
      </c>
      <c r="G35" s="6" t="s">
        <v>1580</v>
      </c>
      <c r="H35" s="7">
        <v>17789609</v>
      </c>
      <c r="I35" s="2"/>
      <c r="J35" s="2" t="s">
        <v>1652</v>
      </c>
      <c r="K35" s="8"/>
      <c r="L35" s="8" t="s">
        <v>1636</v>
      </c>
      <c r="M35" s="3" t="s">
        <v>1640</v>
      </c>
      <c r="N35" s="3"/>
      <c r="O35" s="5"/>
      <c r="P35" s="3"/>
      <c r="Q35" s="3" t="s">
        <v>756</v>
      </c>
      <c r="R35" s="3"/>
      <c r="S35" s="3"/>
      <c r="T35" s="9"/>
      <c r="U35" s="3"/>
      <c r="V35" s="3"/>
      <c r="W35" s="3"/>
      <c r="X35" s="4"/>
      <c r="Y35" s="134">
        <v>0</v>
      </c>
      <c r="Z35" s="134">
        <v>0</v>
      </c>
      <c r="AA35" s="134">
        <v>0</v>
      </c>
      <c r="AB35" s="134">
        <v>0</v>
      </c>
      <c r="AC35" s="134">
        <v>0</v>
      </c>
      <c r="AD35" s="134">
        <v>101684.66</v>
      </c>
      <c r="AE35" s="134">
        <v>101941.91</v>
      </c>
      <c r="AF35" s="134">
        <v>556088.76</v>
      </c>
      <c r="AG35" s="134">
        <v>515969.46</v>
      </c>
      <c r="AH35" s="134">
        <v>522448.75</v>
      </c>
      <c r="AI35" s="134">
        <v>523788.7</v>
      </c>
      <c r="AJ35" s="134">
        <v>1612688.92</v>
      </c>
      <c r="AK35" s="134">
        <v>1616080.27</v>
      </c>
      <c r="AL35" s="134">
        <v>1641094.17</v>
      </c>
      <c r="AM35" s="134">
        <v>1615420.94</v>
      </c>
      <c r="AN35" s="134">
        <v>1612979.77</v>
      </c>
      <c r="AO35" s="137">
        <v>1618144.39</v>
      </c>
      <c r="AP35" s="137">
        <v>1647762.41</v>
      </c>
    </row>
    <row r="36" spans="1:42">
      <c r="A36" s="1" t="s">
        <v>1658</v>
      </c>
      <c r="B36" s="6" t="s">
        <v>1425</v>
      </c>
      <c r="C36" s="6" t="s">
        <v>1425</v>
      </c>
      <c r="D36" s="6" t="s">
        <v>1425</v>
      </c>
      <c r="E36" s="3" t="s">
        <v>1496</v>
      </c>
      <c r="F36" s="3" t="s">
        <v>1654</v>
      </c>
      <c r="G36" s="6" t="s">
        <v>1574</v>
      </c>
      <c r="H36" s="7">
        <v>79451840</v>
      </c>
      <c r="I36" s="2"/>
      <c r="J36" s="2" t="s">
        <v>1652</v>
      </c>
      <c r="K36" s="8"/>
      <c r="L36" s="8" t="s">
        <v>1636</v>
      </c>
      <c r="M36" s="3" t="s">
        <v>1641</v>
      </c>
      <c r="N36" s="3"/>
      <c r="O36" s="5"/>
      <c r="P36" s="3"/>
      <c r="Q36" s="3" t="s">
        <v>756</v>
      </c>
      <c r="R36" s="3"/>
      <c r="S36" s="3"/>
      <c r="T36" s="9"/>
      <c r="U36" s="3"/>
      <c r="V36" s="3"/>
      <c r="W36" s="3"/>
      <c r="X36" s="4"/>
      <c r="Y36" s="134">
        <v>195880.28</v>
      </c>
      <c r="Z36" s="134">
        <v>197458.74</v>
      </c>
      <c r="AA36" s="134">
        <v>189299.32</v>
      </c>
      <c r="AB36" s="134">
        <v>185812.84</v>
      </c>
      <c r="AC36" s="134">
        <v>194617.58</v>
      </c>
      <c r="AD36" s="134">
        <v>200649.41</v>
      </c>
      <c r="AE36" s="134">
        <v>202523.36</v>
      </c>
      <c r="AF36" s="134">
        <v>210248.28</v>
      </c>
      <c r="AG36" s="134">
        <v>215923.68</v>
      </c>
      <c r="AH36" s="134">
        <v>216598.79</v>
      </c>
      <c r="AI36" s="134">
        <v>220146.95</v>
      </c>
      <c r="AJ36" s="134">
        <v>216659.09</v>
      </c>
      <c r="AK36" s="134">
        <v>223437.5</v>
      </c>
      <c r="AL36" s="134">
        <v>224236.86</v>
      </c>
      <c r="AM36" s="134">
        <v>214801.85</v>
      </c>
      <c r="AN36" s="134">
        <v>227095.82</v>
      </c>
      <c r="AO36" s="137">
        <v>228619.97</v>
      </c>
      <c r="AP36" s="137">
        <v>229211.18</v>
      </c>
    </row>
    <row r="37" spans="1:42">
      <c r="A37" s="1" t="s">
        <v>1658</v>
      </c>
      <c r="B37" s="6" t="s">
        <v>1427</v>
      </c>
      <c r="C37" s="6" t="s">
        <v>1660</v>
      </c>
      <c r="D37" s="6" t="s">
        <v>1476</v>
      </c>
      <c r="E37" s="3" t="s">
        <v>1495</v>
      </c>
      <c r="F37" s="3" t="s">
        <v>1654</v>
      </c>
      <c r="G37" s="138" t="s">
        <v>1577</v>
      </c>
      <c r="H37" s="7">
        <v>87523267</v>
      </c>
      <c r="I37" s="2"/>
      <c r="J37" s="2" t="s">
        <v>1652</v>
      </c>
      <c r="K37" s="8"/>
      <c r="L37" s="8" t="s">
        <v>1636</v>
      </c>
      <c r="M37" s="3" t="s">
        <v>1640</v>
      </c>
      <c r="N37" s="3"/>
      <c r="O37" s="5"/>
      <c r="P37" s="3"/>
      <c r="Q37" s="3" t="s">
        <v>756</v>
      </c>
      <c r="R37" s="3"/>
      <c r="S37" s="3"/>
      <c r="T37" s="9"/>
      <c r="U37" s="3"/>
      <c r="V37" s="3"/>
      <c r="W37" s="3"/>
      <c r="X37" s="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7">
        <v>4.2699999999999996</v>
      </c>
      <c r="AP37" s="137">
        <v>4.2699999999999996</v>
      </c>
    </row>
    <row r="38" spans="1:42">
      <c r="A38" s="1" t="s">
        <v>1658</v>
      </c>
      <c r="B38" s="6" t="s">
        <v>1431</v>
      </c>
      <c r="C38" s="6" t="s">
        <v>1431</v>
      </c>
      <c r="D38" s="6" t="s">
        <v>1482</v>
      </c>
      <c r="E38" s="3" t="s">
        <v>1495</v>
      </c>
      <c r="F38" s="3" t="s">
        <v>1654</v>
      </c>
      <c r="G38" s="6" t="s">
        <v>1587</v>
      </c>
      <c r="H38" s="7">
        <v>22391056</v>
      </c>
      <c r="I38" s="2"/>
      <c r="J38" s="2" t="s">
        <v>1652</v>
      </c>
      <c r="K38" s="8"/>
      <c r="L38" s="8" t="s">
        <v>1636</v>
      </c>
      <c r="M38" s="3" t="s">
        <v>1640</v>
      </c>
      <c r="N38" s="3"/>
      <c r="O38" s="5"/>
      <c r="P38" s="3"/>
      <c r="Q38" s="3" t="s">
        <v>1397</v>
      </c>
      <c r="R38" s="3"/>
      <c r="S38" s="3"/>
      <c r="T38" s="9"/>
      <c r="U38" s="3"/>
      <c r="V38" s="3"/>
      <c r="W38" s="3"/>
      <c r="X38" s="4"/>
      <c r="Y38" s="134">
        <v>0</v>
      </c>
      <c r="Z38" s="134">
        <v>0</v>
      </c>
      <c r="AA38" s="134">
        <v>0</v>
      </c>
      <c r="AB38" s="134">
        <v>0</v>
      </c>
      <c r="AC38" s="134">
        <v>0</v>
      </c>
      <c r="AD38" s="134">
        <v>199.72</v>
      </c>
      <c r="AE38" s="134">
        <v>0.84</v>
      </c>
      <c r="AF38" s="134">
        <v>0.84</v>
      </c>
      <c r="AG38" s="134">
        <v>0.84</v>
      </c>
      <c r="AH38" s="134">
        <v>0.84</v>
      </c>
      <c r="AI38" s="134">
        <v>0.84</v>
      </c>
      <c r="AJ38" s="134">
        <v>0.84</v>
      </c>
      <c r="AK38" s="134">
        <v>0.84</v>
      </c>
      <c r="AL38" s="134">
        <v>0.84</v>
      </c>
      <c r="AM38" s="134">
        <v>0.84</v>
      </c>
      <c r="AN38" s="134">
        <v>0.84</v>
      </c>
      <c r="AO38" s="137">
        <v>0.84</v>
      </c>
      <c r="AP38" s="137">
        <v>0.84</v>
      </c>
    </row>
    <row r="39" spans="1:42">
      <c r="A39" s="1" t="s">
        <v>1658</v>
      </c>
      <c r="B39" s="6" t="s">
        <v>1431</v>
      </c>
      <c r="C39" s="6" t="s">
        <v>1431</v>
      </c>
      <c r="D39" s="6" t="s">
        <v>1482</v>
      </c>
      <c r="E39" s="3" t="s">
        <v>1495</v>
      </c>
      <c r="F39" s="3" t="s">
        <v>1654</v>
      </c>
      <c r="G39" s="138" t="s">
        <v>1587</v>
      </c>
      <c r="H39" s="7">
        <v>98061659</v>
      </c>
      <c r="I39" s="2"/>
      <c r="J39" s="2" t="s">
        <v>1652</v>
      </c>
      <c r="K39" s="8"/>
      <c r="L39" s="8" t="s">
        <v>1636</v>
      </c>
      <c r="M39" s="3" t="s">
        <v>1640</v>
      </c>
      <c r="N39" s="3"/>
      <c r="O39" s="5"/>
      <c r="P39" s="3"/>
      <c r="Q39" s="3" t="s">
        <v>1397</v>
      </c>
      <c r="R39" s="3"/>
      <c r="S39" s="3"/>
      <c r="T39" s="9"/>
      <c r="U39" s="3"/>
      <c r="V39" s="3"/>
      <c r="W39" s="3"/>
      <c r="X39" s="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34"/>
      <c r="AM39" s="134"/>
      <c r="AN39" s="134"/>
      <c r="AO39" s="137">
        <v>0</v>
      </c>
      <c r="AP39" s="137">
        <v>0</v>
      </c>
    </row>
    <row r="40" spans="1:42">
      <c r="A40" s="1" t="s">
        <v>1658</v>
      </c>
      <c r="B40" s="6" t="s">
        <v>1429</v>
      </c>
      <c r="C40" s="6" t="s">
        <v>1429</v>
      </c>
      <c r="D40" s="6" t="s">
        <v>1478</v>
      </c>
      <c r="E40" s="3" t="s">
        <v>1496</v>
      </c>
      <c r="F40" s="3" t="s">
        <v>1654</v>
      </c>
      <c r="G40" s="6" t="s">
        <v>1582</v>
      </c>
      <c r="H40" s="7">
        <v>32892096</v>
      </c>
      <c r="I40" s="2"/>
      <c r="J40" s="2" t="s">
        <v>1652</v>
      </c>
      <c r="K40" s="8"/>
      <c r="L40" s="8" t="s">
        <v>1636</v>
      </c>
      <c r="M40" s="3" t="s">
        <v>15</v>
      </c>
      <c r="N40" s="3"/>
      <c r="O40" s="5"/>
      <c r="P40" s="3"/>
      <c r="Q40" s="3" t="s">
        <v>1397</v>
      </c>
      <c r="R40" s="3"/>
      <c r="S40" s="3"/>
      <c r="T40" s="9"/>
      <c r="U40" s="3"/>
      <c r="V40" s="3"/>
      <c r="W40" s="3"/>
      <c r="X40" s="4"/>
      <c r="Y40" s="134">
        <v>0</v>
      </c>
      <c r="Z40" s="134">
        <v>0</v>
      </c>
      <c r="AA40" s="134">
        <v>0</v>
      </c>
      <c r="AB40" s="134">
        <v>0</v>
      </c>
      <c r="AC40" s="134">
        <v>0</v>
      </c>
      <c r="AD40" s="134">
        <v>0</v>
      </c>
      <c r="AE40" s="134">
        <v>0</v>
      </c>
      <c r="AF40" s="134">
        <v>0</v>
      </c>
      <c r="AG40" s="134">
        <v>0</v>
      </c>
      <c r="AH40" s="134">
        <v>0</v>
      </c>
      <c r="AI40" s="134">
        <v>0</v>
      </c>
      <c r="AJ40" s="134">
        <v>0</v>
      </c>
      <c r="AK40" s="134">
        <v>0</v>
      </c>
      <c r="AL40" s="134">
        <v>0</v>
      </c>
      <c r="AM40" s="134">
        <v>0</v>
      </c>
      <c r="AN40" s="134">
        <v>0</v>
      </c>
      <c r="AO40" s="137">
        <v>0</v>
      </c>
      <c r="AP40" s="137">
        <v>2146.56</v>
      </c>
    </row>
    <row r="41" spans="1:42">
      <c r="A41" s="1" t="s">
        <v>1658</v>
      </c>
      <c r="B41" s="6" t="s">
        <v>1435</v>
      </c>
      <c r="C41" s="6" t="s">
        <v>1665</v>
      </c>
      <c r="D41" s="6" t="s">
        <v>1484</v>
      </c>
      <c r="E41" s="3" t="s">
        <v>1496</v>
      </c>
      <c r="F41" s="3" t="s">
        <v>1654</v>
      </c>
      <c r="G41" s="6" t="s">
        <v>1593</v>
      </c>
      <c r="H41" s="7">
        <v>36200373</v>
      </c>
      <c r="I41" s="2"/>
      <c r="J41" s="2" t="s">
        <v>1652</v>
      </c>
      <c r="K41" s="8"/>
      <c r="L41" s="8" t="s">
        <v>1636</v>
      </c>
      <c r="M41" s="3" t="s">
        <v>1638</v>
      </c>
      <c r="N41" s="3"/>
      <c r="O41" s="5"/>
      <c r="P41" s="3"/>
      <c r="Q41" s="3" t="s">
        <v>756</v>
      </c>
      <c r="R41" s="3"/>
      <c r="S41" s="3"/>
      <c r="T41" s="9"/>
      <c r="U41" s="3"/>
      <c r="V41" s="3"/>
      <c r="W41" s="3"/>
      <c r="X41" s="4"/>
      <c r="Y41" s="134">
        <v>1128594.51</v>
      </c>
      <c r="Z41" s="134">
        <v>1157776.82</v>
      </c>
      <c r="AA41" s="134">
        <v>1150998.3500000001</v>
      </c>
      <c r="AB41" s="134">
        <v>1254572.24</v>
      </c>
      <c r="AC41" s="134">
        <v>1261380.8600000001</v>
      </c>
      <c r="AD41" s="134">
        <v>1297515.77</v>
      </c>
      <c r="AE41" s="134">
        <v>1392731.64</v>
      </c>
      <c r="AF41" s="134">
        <v>1435059.11</v>
      </c>
      <c r="AG41" s="134">
        <v>1516721.27</v>
      </c>
      <c r="AH41" s="134">
        <v>1581124.19</v>
      </c>
      <c r="AI41" s="134">
        <v>1642132.32</v>
      </c>
      <c r="AJ41" s="134">
        <v>1464056.86</v>
      </c>
      <c r="AK41" s="134">
        <v>1506904.01</v>
      </c>
      <c r="AL41" s="134">
        <v>1538698.12</v>
      </c>
      <c r="AM41" s="134">
        <v>1474239.87</v>
      </c>
      <c r="AN41" s="134">
        <v>1618223.84</v>
      </c>
      <c r="AO41" s="137">
        <v>1658960.68</v>
      </c>
      <c r="AP41" s="137">
        <v>1671136.49</v>
      </c>
    </row>
    <row r="42" spans="1:42">
      <c r="A42" s="1" t="s">
        <v>1658</v>
      </c>
      <c r="B42" s="6" t="s">
        <v>1435</v>
      </c>
      <c r="C42" s="6" t="s">
        <v>1665</v>
      </c>
      <c r="D42" s="6" t="s">
        <v>1485</v>
      </c>
      <c r="E42" s="3" t="s">
        <v>1495</v>
      </c>
      <c r="F42" s="3" t="s">
        <v>1654</v>
      </c>
      <c r="G42" s="138" t="s">
        <v>1593</v>
      </c>
      <c r="H42" s="7">
        <v>29206363</v>
      </c>
      <c r="I42" s="2"/>
      <c r="J42" s="2" t="s">
        <v>1652</v>
      </c>
      <c r="K42" s="8"/>
      <c r="L42" s="8" t="s">
        <v>1636</v>
      </c>
      <c r="M42" s="3" t="s">
        <v>1638</v>
      </c>
      <c r="N42" s="3"/>
      <c r="O42" s="5"/>
      <c r="P42" s="3"/>
      <c r="Q42" s="3" t="s">
        <v>756</v>
      </c>
      <c r="R42" s="3"/>
      <c r="S42" s="3"/>
      <c r="T42" s="9"/>
      <c r="U42" s="3"/>
      <c r="V42" s="3"/>
      <c r="W42" s="3"/>
      <c r="X42" s="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34"/>
      <c r="AM42" s="134"/>
      <c r="AN42" s="134"/>
      <c r="AO42" s="137">
        <v>6012.78</v>
      </c>
      <c r="AP42" s="137">
        <v>1470.68</v>
      </c>
    </row>
    <row r="43" spans="1:42">
      <c r="A43" s="1" t="s">
        <v>1658</v>
      </c>
      <c r="B43" s="6" t="s">
        <v>1451</v>
      </c>
      <c r="C43" s="6" t="s">
        <v>1451</v>
      </c>
      <c r="D43" s="6" t="s">
        <v>1493</v>
      </c>
      <c r="E43" s="3" t="s">
        <v>1495</v>
      </c>
      <c r="F43" s="3" t="s">
        <v>1654</v>
      </c>
      <c r="G43" s="6" t="s">
        <v>1618</v>
      </c>
      <c r="H43" s="7">
        <v>78224399</v>
      </c>
      <c r="I43" s="2"/>
      <c r="J43" s="2" t="s">
        <v>1653</v>
      </c>
      <c r="K43" s="8"/>
      <c r="L43" s="8" t="s">
        <v>1636</v>
      </c>
      <c r="M43" s="3" t="s">
        <v>1641</v>
      </c>
      <c r="N43" s="3"/>
      <c r="O43" s="5"/>
      <c r="P43" s="3"/>
      <c r="Q43" s="3" t="s">
        <v>756</v>
      </c>
      <c r="R43" s="3"/>
      <c r="S43" s="3"/>
      <c r="T43" s="9"/>
      <c r="U43" s="3"/>
      <c r="V43" s="3"/>
      <c r="W43" s="3"/>
      <c r="X43" s="4"/>
      <c r="Y43" s="134">
        <v>0</v>
      </c>
      <c r="Z43" s="134">
        <v>0</v>
      </c>
      <c r="AA43" s="134">
        <v>0</v>
      </c>
      <c r="AB43" s="134">
        <v>58207.61</v>
      </c>
      <c r="AC43" s="134">
        <v>59644.75</v>
      </c>
      <c r="AD43" s="134">
        <v>61397.65</v>
      </c>
      <c r="AE43" s="134">
        <v>97186.76</v>
      </c>
      <c r="AF43" s="134">
        <v>101481.95</v>
      </c>
      <c r="AG43" s="134">
        <v>105120.17</v>
      </c>
      <c r="AH43" s="134">
        <v>104197.98</v>
      </c>
      <c r="AI43" s="134">
        <v>104785.28</v>
      </c>
      <c r="AJ43" s="134">
        <v>139435.95000000001</v>
      </c>
      <c r="AK43" s="134">
        <v>180173.91</v>
      </c>
      <c r="AL43" s="134">
        <v>207290.55</v>
      </c>
      <c r="AM43" s="134">
        <v>196693.93</v>
      </c>
      <c r="AN43" s="134">
        <v>204947.09</v>
      </c>
      <c r="AO43" s="137">
        <v>218513.25</v>
      </c>
      <c r="AP43" s="137">
        <v>238080.97</v>
      </c>
    </row>
    <row r="44" spans="1:42">
      <c r="A44" s="1" t="s">
        <v>1658</v>
      </c>
      <c r="B44" s="6" t="s">
        <v>1441</v>
      </c>
      <c r="C44" s="6" t="s">
        <v>1441</v>
      </c>
      <c r="D44" s="6" t="s">
        <v>1487</v>
      </c>
      <c r="E44" s="3" t="s">
        <v>1495</v>
      </c>
      <c r="F44" s="3" t="s">
        <v>1654</v>
      </c>
      <c r="G44" s="6" t="s">
        <v>1601</v>
      </c>
      <c r="H44" s="7">
        <v>95396715</v>
      </c>
      <c r="I44" s="2"/>
      <c r="J44" s="2" t="s">
        <v>1652</v>
      </c>
      <c r="K44" s="8"/>
      <c r="L44" s="8" t="s">
        <v>1636</v>
      </c>
      <c r="M44" s="3" t="s">
        <v>1638</v>
      </c>
      <c r="N44" s="3"/>
      <c r="O44" s="5"/>
      <c r="P44" s="3"/>
      <c r="Q44" s="3" t="s">
        <v>756</v>
      </c>
      <c r="R44" s="3"/>
      <c r="S44" s="3"/>
      <c r="T44" s="9"/>
      <c r="U44" s="3"/>
      <c r="V44" s="3"/>
      <c r="W44" s="3"/>
      <c r="X44" s="4"/>
      <c r="Y44" s="134">
        <v>341821.97</v>
      </c>
      <c r="Z44" s="134">
        <v>346445.43</v>
      </c>
      <c r="AA44" s="134">
        <v>345237.37</v>
      </c>
      <c r="AB44" s="134">
        <v>76436.320000000007</v>
      </c>
      <c r="AC44" s="134">
        <v>0</v>
      </c>
      <c r="AD44" s="134">
        <v>0</v>
      </c>
      <c r="AE44" s="134">
        <v>103320</v>
      </c>
      <c r="AF44" s="134">
        <v>103885.4</v>
      </c>
      <c r="AG44" s="134">
        <v>104218.93</v>
      </c>
      <c r="AH44" s="134">
        <v>104462.12</v>
      </c>
      <c r="AI44" s="134">
        <v>104718.76</v>
      </c>
      <c r="AJ44" s="134">
        <v>104979.65</v>
      </c>
      <c r="AK44" s="134">
        <v>105167.2</v>
      </c>
      <c r="AL44" s="134">
        <v>105371.28</v>
      </c>
      <c r="AM44" s="134">
        <v>105582.67</v>
      </c>
      <c r="AN44" s="134">
        <v>105740.39</v>
      </c>
      <c r="AO44" s="137">
        <v>105593.18</v>
      </c>
      <c r="AP44" s="137">
        <v>81370.67</v>
      </c>
    </row>
    <row r="45" spans="1:42">
      <c r="A45" s="1" t="s">
        <v>1658</v>
      </c>
      <c r="B45" s="6" t="s">
        <v>1437</v>
      </c>
      <c r="C45" s="6" t="s">
        <v>1437</v>
      </c>
      <c r="D45" s="6" t="s">
        <v>1437</v>
      </c>
      <c r="E45" s="3" t="s">
        <v>1495</v>
      </c>
      <c r="F45" s="3" t="s">
        <v>1654</v>
      </c>
      <c r="G45" s="6" t="s">
        <v>1634</v>
      </c>
      <c r="H45" s="7">
        <v>61160053</v>
      </c>
      <c r="I45" s="2"/>
      <c r="J45" s="2" t="s">
        <v>1653</v>
      </c>
      <c r="K45" s="8"/>
      <c r="L45" s="8" t="s">
        <v>1636</v>
      </c>
      <c r="M45" s="3" t="s">
        <v>1644</v>
      </c>
      <c r="N45" s="3"/>
      <c r="O45" s="5"/>
      <c r="P45" s="3"/>
      <c r="Q45" s="3" t="s">
        <v>1397</v>
      </c>
      <c r="R45" s="3"/>
      <c r="S45" s="3"/>
      <c r="T45" s="9"/>
      <c r="U45" s="3"/>
      <c r="V45" s="3"/>
      <c r="W45" s="3"/>
      <c r="X45" s="4"/>
      <c r="Y45" s="134">
        <v>0</v>
      </c>
      <c r="Z45" s="134">
        <v>0</v>
      </c>
      <c r="AA45" s="134">
        <v>0</v>
      </c>
      <c r="AB45" s="134">
        <v>0</v>
      </c>
      <c r="AC45" s="134">
        <v>0</v>
      </c>
      <c r="AD45" s="134">
        <v>0</v>
      </c>
      <c r="AE45" s="134">
        <v>0</v>
      </c>
      <c r="AF45" s="134">
        <v>0</v>
      </c>
      <c r="AG45" s="134">
        <v>0</v>
      </c>
      <c r="AH45" s="134">
        <v>0</v>
      </c>
      <c r="AI45" s="134">
        <v>0</v>
      </c>
      <c r="AJ45" s="134">
        <v>0</v>
      </c>
      <c r="AK45" s="134">
        <v>0</v>
      </c>
      <c r="AL45" s="134">
        <v>0</v>
      </c>
      <c r="AM45" s="134">
        <v>0</v>
      </c>
      <c r="AN45" s="134">
        <v>0</v>
      </c>
      <c r="AO45" s="137">
        <v>0</v>
      </c>
      <c r="AP45" s="137">
        <v>0</v>
      </c>
    </row>
    <row r="46" spans="1:42">
      <c r="A46" s="1" t="s">
        <v>1658</v>
      </c>
      <c r="B46" s="6" t="s">
        <v>1439</v>
      </c>
      <c r="C46" s="6" t="s">
        <v>1660</v>
      </c>
      <c r="D46" s="6" t="s">
        <v>1439</v>
      </c>
      <c r="E46" s="3" t="s">
        <v>1495</v>
      </c>
      <c r="F46" s="3" t="s">
        <v>1654</v>
      </c>
      <c r="G46" s="6" t="s">
        <v>1598</v>
      </c>
      <c r="H46" s="7">
        <v>20082148</v>
      </c>
      <c r="I46" s="2"/>
      <c r="J46" s="2" t="s">
        <v>1652</v>
      </c>
      <c r="K46" s="8"/>
      <c r="L46" s="8" t="s">
        <v>1636</v>
      </c>
      <c r="M46" s="3" t="s">
        <v>1641</v>
      </c>
      <c r="N46" s="3"/>
      <c r="O46" s="5"/>
      <c r="P46" s="3"/>
      <c r="Q46" s="3" t="s">
        <v>756</v>
      </c>
      <c r="R46" s="3"/>
      <c r="S46" s="3"/>
      <c r="T46" s="9"/>
      <c r="U46" s="3"/>
      <c r="V46" s="3"/>
      <c r="W46" s="3"/>
      <c r="X46" s="4"/>
      <c r="Y46" s="134">
        <v>131.28</v>
      </c>
      <c r="Z46" s="134">
        <v>131.28</v>
      </c>
      <c r="AA46" s="134">
        <v>131.28</v>
      </c>
      <c r="AB46" s="134">
        <v>131.28</v>
      </c>
      <c r="AC46" s="134">
        <v>131.28</v>
      </c>
      <c r="AD46" s="134">
        <v>131.28</v>
      </c>
      <c r="AE46" s="134">
        <v>131.28</v>
      </c>
      <c r="AF46" s="134">
        <v>131.28</v>
      </c>
      <c r="AG46" s="134">
        <v>131.28</v>
      </c>
      <c r="AH46" s="134">
        <v>131.28</v>
      </c>
      <c r="AI46" s="134">
        <v>131.28</v>
      </c>
      <c r="AJ46" s="134">
        <v>131.28</v>
      </c>
      <c r="AK46" s="134">
        <v>131.28</v>
      </c>
      <c r="AL46" s="134">
        <v>131.28</v>
      </c>
      <c r="AM46" s="134">
        <v>131.28</v>
      </c>
      <c r="AN46" s="134">
        <v>131.28</v>
      </c>
      <c r="AO46" s="137">
        <v>131.28</v>
      </c>
      <c r="AP46" s="137">
        <v>131.28</v>
      </c>
    </row>
    <row r="47" spans="1:42">
      <c r="A47" s="1" t="s">
        <v>1658</v>
      </c>
      <c r="B47" s="6" t="s">
        <v>1442</v>
      </c>
      <c r="C47" s="6" t="s">
        <v>1442</v>
      </c>
      <c r="D47" s="6" t="s">
        <v>1488</v>
      </c>
      <c r="E47" s="3" t="s">
        <v>1495</v>
      </c>
      <c r="F47" s="3" t="s">
        <v>1654</v>
      </c>
      <c r="G47" s="6" t="s">
        <v>1603</v>
      </c>
      <c r="H47" s="7">
        <v>35318483</v>
      </c>
      <c r="I47" s="2"/>
      <c r="J47" s="2" t="s">
        <v>1652</v>
      </c>
      <c r="K47" s="8"/>
      <c r="L47" s="8" t="s">
        <v>1636</v>
      </c>
      <c r="M47" s="3" t="s">
        <v>1645</v>
      </c>
      <c r="N47" s="3"/>
      <c r="O47" s="5"/>
      <c r="P47" s="3"/>
      <c r="Q47" s="3" t="s">
        <v>756</v>
      </c>
      <c r="R47" s="3"/>
      <c r="S47" s="3"/>
      <c r="T47" s="9"/>
      <c r="U47" s="3"/>
      <c r="V47" s="3"/>
      <c r="W47" s="3"/>
      <c r="X47" s="4"/>
      <c r="Y47" s="134">
        <v>816751.63</v>
      </c>
      <c r="Z47" s="134">
        <v>768324.85</v>
      </c>
      <c r="AA47" s="134">
        <v>764430</v>
      </c>
      <c r="AB47" s="134">
        <v>759599.85</v>
      </c>
      <c r="AC47" s="134">
        <v>824388.85</v>
      </c>
      <c r="AD47" s="134">
        <v>831525.8</v>
      </c>
      <c r="AE47" s="134">
        <v>868171.95</v>
      </c>
      <c r="AF47" s="134">
        <v>897831.57</v>
      </c>
      <c r="AG47" s="134">
        <v>1107977.06</v>
      </c>
      <c r="AH47" s="134">
        <v>1314962.98</v>
      </c>
      <c r="AI47" s="134">
        <v>1052080.3</v>
      </c>
      <c r="AJ47" s="134">
        <v>1034523.64</v>
      </c>
      <c r="AK47" s="134">
        <v>985151.06</v>
      </c>
      <c r="AL47" s="134">
        <v>971622.71</v>
      </c>
      <c r="AM47" s="134">
        <v>870288.19</v>
      </c>
      <c r="AN47" s="134">
        <v>974140.71</v>
      </c>
      <c r="AO47" s="137">
        <v>1141620.45</v>
      </c>
      <c r="AP47" s="137">
        <v>1020234.66</v>
      </c>
    </row>
    <row r="48" spans="1:42">
      <c r="A48" s="1" t="s">
        <v>1658</v>
      </c>
      <c r="B48" s="6" t="s">
        <v>1443</v>
      </c>
      <c r="C48" s="6" t="s">
        <v>1664</v>
      </c>
      <c r="D48" s="6" t="s">
        <v>1489</v>
      </c>
      <c r="E48" s="3" t="s">
        <v>1496</v>
      </c>
      <c r="F48" s="3" t="s">
        <v>1654</v>
      </c>
      <c r="G48" s="6" t="s">
        <v>1604</v>
      </c>
      <c r="H48" s="7">
        <v>64343370</v>
      </c>
      <c r="I48" s="2"/>
      <c r="J48" s="2" t="s">
        <v>1653</v>
      </c>
      <c r="K48" s="8"/>
      <c r="L48" s="8" t="s">
        <v>1636</v>
      </c>
      <c r="M48" s="3" t="s">
        <v>1638</v>
      </c>
      <c r="N48" s="3"/>
      <c r="O48" s="5"/>
      <c r="P48" s="3"/>
      <c r="Q48" s="3" t="s">
        <v>756</v>
      </c>
      <c r="R48" s="3"/>
      <c r="S48" s="3"/>
      <c r="T48" s="9"/>
      <c r="U48" s="3"/>
      <c r="V48" s="3"/>
      <c r="W48" s="3"/>
      <c r="X48" s="4"/>
      <c r="Y48" s="134">
        <v>221396.98</v>
      </c>
      <c r="Z48" s="134">
        <v>512822.22</v>
      </c>
      <c r="AA48" s="134">
        <v>613349.27</v>
      </c>
      <c r="AB48" s="134">
        <v>715377.73</v>
      </c>
      <c r="AC48" s="134">
        <v>887107.59</v>
      </c>
      <c r="AD48" s="134">
        <v>915935.14</v>
      </c>
      <c r="AE48" s="134">
        <v>1026073.63</v>
      </c>
      <c r="AF48" s="134">
        <v>1134454.6599999999</v>
      </c>
      <c r="AG48" s="134">
        <v>1219157.82</v>
      </c>
      <c r="AH48" s="134">
        <v>1224535.56</v>
      </c>
      <c r="AI48" s="134">
        <v>1237952.6399999999</v>
      </c>
      <c r="AJ48" s="134">
        <v>1221188.02</v>
      </c>
      <c r="AK48" s="134">
        <v>1247167.6000000001</v>
      </c>
      <c r="AL48" s="134">
        <v>1257169.1599999999</v>
      </c>
      <c r="AM48" s="134">
        <v>1269165.67</v>
      </c>
      <c r="AN48" s="134">
        <v>1368938.3</v>
      </c>
      <c r="AO48" s="137">
        <v>1371045.76</v>
      </c>
      <c r="AP48" s="137">
        <v>1371401.07</v>
      </c>
    </row>
    <row r="49" spans="1:42">
      <c r="A49" s="1" t="s">
        <v>1658</v>
      </c>
      <c r="B49" s="6" t="s">
        <v>1444</v>
      </c>
      <c r="C49" s="6" t="s">
        <v>1663</v>
      </c>
      <c r="D49" s="6" t="s">
        <v>1491</v>
      </c>
      <c r="E49" s="3" t="s">
        <v>1495</v>
      </c>
      <c r="F49" s="3" t="s">
        <v>1654</v>
      </c>
      <c r="G49" s="6" t="s">
        <v>1608</v>
      </c>
      <c r="H49" s="7">
        <v>52778847</v>
      </c>
      <c r="I49" s="2"/>
      <c r="J49" s="2" t="s">
        <v>1652</v>
      </c>
      <c r="K49" s="8"/>
      <c r="L49" s="8" t="s">
        <v>1636</v>
      </c>
      <c r="M49" s="3" t="s">
        <v>1639</v>
      </c>
      <c r="N49" s="3"/>
      <c r="O49" s="5"/>
      <c r="P49" s="3"/>
      <c r="Q49" s="3" t="s">
        <v>1397</v>
      </c>
      <c r="R49" s="3"/>
      <c r="S49" s="3"/>
      <c r="T49" s="9"/>
      <c r="U49" s="3"/>
      <c r="V49" s="3"/>
      <c r="W49" s="3"/>
      <c r="X49" s="4"/>
      <c r="Y49" s="134">
        <v>0</v>
      </c>
      <c r="Z49" s="134">
        <v>0</v>
      </c>
      <c r="AA49" s="134">
        <v>0</v>
      </c>
      <c r="AB49" s="134">
        <v>0</v>
      </c>
      <c r="AC49" s="134">
        <v>0</v>
      </c>
      <c r="AD49" s="134">
        <v>0</v>
      </c>
      <c r="AE49" s="134">
        <v>0</v>
      </c>
      <c r="AF49" s="134">
        <v>0</v>
      </c>
      <c r="AG49" s="134">
        <v>0</v>
      </c>
      <c r="AH49" s="134">
        <v>0</v>
      </c>
      <c r="AI49" s="134">
        <v>0</v>
      </c>
      <c r="AJ49" s="134">
        <v>0</v>
      </c>
      <c r="AK49" s="134">
        <v>0</v>
      </c>
      <c r="AL49" s="134">
        <v>0</v>
      </c>
      <c r="AM49" s="134">
        <v>0</v>
      </c>
      <c r="AN49" s="134">
        <v>0</v>
      </c>
      <c r="AO49" s="137">
        <v>0</v>
      </c>
      <c r="AP49" s="137">
        <v>0</v>
      </c>
    </row>
    <row r="50" spans="1:42">
      <c r="A50" s="1" t="s">
        <v>1658</v>
      </c>
      <c r="B50" s="6" t="s">
        <v>1448</v>
      </c>
      <c r="C50" s="6" t="s">
        <v>1448</v>
      </c>
      <c r="D50" s="6" t="s">
        <v>1448</v>
      </c>
      <c r="E50" s="3" t="s">
        <v>1495</v>
      </c>
      <c r="F50" s="3" t="s">
        <v>1654</v>
      </c>
      <c r="G50" s="6" t="s">
        <v>1613</v>
      </c>
      <c r="H50" s="7">
        <v>26245282</v>
      </c>
      <c r="I50" s="2"/>
      <c r="J50" s="2" t="s">
        <v>1652</v>
      </c>
      <c r="K50" s="8"/>
      <c r="L50" s="8" t="s">
        <v>1636</v>
      </c>
      <c r="M50" s="3" t="s">
        <v>1638</v>
      </c>
      <c r="N50" s="3"/>
      <c r="O50" s="5"/>
      <c r="P50" s="3"/>
      <c r="Q50" s="3" t="s">
        <v>756</v>
      </c>
      <c r="R50" s="3"/>
      <c r="S50" s="3"/>
      <c r="T50" s="9"/>
      <c r="U50" s="3"/>
      <c r="V50" s="3"/>
      <c r="W50" s="3"/>
      <c r="X50" s="4"/>
      <c r="Y50" s="134">
        <v>159604.1</v>
      </c>
      <c r="Z50" s="134">
        <v>163150.38</v>
      </c>
      <c r="AA50" s="134">
        <v>158995.35</v>
      </c>
      <c r="AB50" s="134">
        <v>156773.96</v>
      </c>
      <c r="AC50" s="134">
        <v>160655.67000000001</v>
      </c>
      <c r="AD50" s="134">
        <v>164768.32000000001</v>
      </c>
      <c r="AE50" s="134">
        <v>166787.03</v>
      </c>
      <c r="AF50" s="134">
        <v>173410.24</v>
      </c>
      <c r="AG50" s="134">
        <v>169716.44</v>
      </c>
      <c r="AH50" s="134">
        <v>170505.02</v>
      </c>
      <c r="AI50" s="134">
        <v>172598.71</v>
      </c>
      <c r="AJ50" s="134">
        <v>170075.55</v>
      </c>
      <c r="AK50" s="134">
        <v>173591.04000000001</v>
      </c>
      <c r="AL50" s="134">
        <v>176505.07</v>
      </c>
      <c r="AM50" s="134">
        <v>168125.79</v>
      </c>
      <c r="AN50" s="134">
        <v>176926.47</v>
      </c>
      <c r="AO50" s="137">
        <v>180035.72</v>
      </c>
      <c r="AP50" s="137">
        <v>180681.25</v>
      </c>
    </row>
    <row r="51" spans="1:42">
      <c r="A51" s="1" t="s">
        <v>1658</v>
      </c>
      <c r="B51" s="6" t="s">
        <v>1427</v>
      </c>
      <c r="C51" s="6" t="s">
        <v>1660</v>
      </c>
      <c r="D51" s="6" t="s">
        <v>1475</v>
      </c>
      <c r="E51" s="3" t="s">
        <v>1496</v>
      </c>
      <c r="F51" s="3" t="s">
        <v>1654</v>
      </c>
      <c r="G51" s="6" t="s">
        <v>1577</v>
      </c>
      <c r="H51" s="7">
        <v>92343302</v>
      </c>
      <c r="I51" s="2"/>
      <c r="J51" s="2" t="s">
        <v>1652</v>
      </c>
      <c r="K51" s="8"/>
      <c r="L51" s="8" t="s">
        <v>1636</v>
      </c>
      <c r="M51" s="3" t="s">
        <v>1640</v>
      </c>
      <c r="N51" s="3"/>
      <c r="O51" s="5"/>
      <c r="P51" s="3"/>
      <c r="Q51" s="3" t="s">
        <v>756</v>
      </c>
      <c r="R51" s="3"/>
      <c r="S51" s="3"/>
      <c r="T51" s="9"/>
      <c r="U51" s="3"/>
      <c r="V51" s="3"/>
      <c r="W51" s="3"/>
      <c r="X51" s="4"/>
      <c r="Y51" s="134">
        <v>1064848.23</v>
      </c>
      <c r="Z51" s="134">
        <v>1096126.33</v>
      </c>
      <c r="AA51" s="134">
        <v>1093869.5900000001</v>
      </c>
      <c r="AB51" s="134">
        <v>1076932.3899999999</v>
      </c>
      <c r="AC51" s="134">
        <v>1072812.32</v>
      </c>
      <c r="AD51" s="134">
        <v>1092198.51</v>
      </c>
      <c r="AE51" s="134">
        <v>1088327.76</v>
      </c>
      <c r="AF51" s="134">
        <v>1117395.97</v>
      </c>
      <c r="AG51" s="134">
        <v>1145920.02</v>
      </c>
      <c r="AH51" s="134">
        <v>1158903.95</v>
      </c>
      <c r="AI51" s="134">
        <v>1179510.76</v>
      </c>
      <c r="AJ51" s="134">
        <v>1165860.4099999999</v>
      </c>
      <c r="AK51" s="134">
        <v>1194080.8500000001</v>
      </c>
      <c r="AL51" s="134">
        <v>1228093.77</v>
      </c>
      <c r="AM51" s="134">
        <v>1180617.33</v>
      </c>
      <c r="AN51" s="134">
        <v>1197451.17</v>
      </c>
      <c r="AO51" s="137">
        <v>1183604.8899999999</v>
      </c>
      <c r="AP51" s="137">
        <v>1197345.98</v>
      </c>
    </row>
    <row r="52" spans="1:42">
      <c r="A52" s="1" t="s">
        <v>1658</v>
      </c>
      <c r="B52" s="6" t="s">
        <v>1439</v>
      </c>
      <c r="C52" s="6" t="s">
        <v>1660</v>
      </c>
      <c r="D52" s="6" t="s">
        <v>1475</v>
      </c>
      <c r="E52" s="3" t="s">
        <v>1496</v>
      </c>
      <c r="F52" s="3" t="s">
        <v>1654</v>
      </c>
      <c r="G52" s="6" t="s">
        <v>1598</v>
      </c>
      <c r="H52" s="7">
        <v>71802417</v>
      </c>
      <c r="I52" s="2"/>
      <c r="J52" s="2" t="s">
        <v>1652</v>
      </c>
      <c r="K52" s="8"/>
      <c r="L52" s="8" t="s">
        <v>1636</v>
      </c>
      <c r="M52" s="3" t="s">
        <v>1641</v>
      </c>
      <c r="N52" s="3"/>
      <c r="O52" s="5"/>
      <c r="P52" s="3"/>
      <c r="Q52" s="3" t="s">
        <v>756</v>
      </c>
      <c r="R52" s="3"/>
      <c r="S52" s="3"/>
      <c r="T52" s="9"/>
      <c r="U52" s="3"/>
      <c r="V52" s="3"/>
      <c r="W52" s="3"/>
      <c r="X52" s="4"/>
      <c r="Y52" s="134">
        <v>415716.24</v>
      </c>
      <c r="Z52" s="134">
        <v>424791.8</v>
      </c>
      <c r="AA52" s="134">
        <v>419333.73</v>
      </c>
      <c r="AB52" s="134">
        <v>410085.91</v>
      </c>
      <c r="AC52" s="134">
        <v>416753.75</v>
      </c>
      <c r="AD52" s="134">
        <v>428375.2</v>
      </c>
      <c r="AE52" s="134">
        <v>431573.2</v>
      </c>
      <c r="AF52" s="134">
        <v>450045.53</v>
      </c>
      <c r="AG52" s="134">
        <v>459523.84000000003</v>
      </c>
      <c r="AH52" s="134">
        <v>460389.32</v>
      </c>
      <c r="AI52" s="134">
        <v>469439.06</v>
      </c>
      <c r="AJ52" s="134">
        <v>465950.12</v>
      </c>
      <c r="AK52" s="134">
        <v>482647.67</v>
      </c>
      <c r="AL52" s="134">
        <v>490426.65</v>
      </c>
      <c r="AM52" s="134">
        <v>466937.82</v>
      </c>
      <c r="AN52" s="134">
        <v>486760.85</v>
      </c>
      <c r="AO52" s="137">
        <v>491210.53</v>
      </c>
      <c r="AP52" s="137">
        <v>490703.4</v>
      </c>
    </row>
    <row r="53" spans="1:42">
      <c r="A53" s="1" t="s">
        <v>1658</v>
      </c>
      <c r="B53" s="6" t="s">
        <v>1422</v>
      </c>
      <c r="C53" s="6" t="s">
        <v>1663</v>
      </c>
      <c r="D53" s="6" t="s">
        <v>1472</v>
      </c>
      <c r="E53" s="3" t="s">
        <v>1496</v>
      </c>
      <c r="F53" s="3" t="s">
        <v>1654</v>
      </c>
      <c r="G53" s="6" t="s">
        <v>1569</v>
      </c>
      <c r="H53" s="7">
        <v>61663347</v>
      </c>
      <c r="I53" s="2"/>
      <c r="J53" s="2" t="s">
        <v>1652</v>
      </c>
      <c r="K53" s="8"/>
      <c r="L53" s="8" t="s">
        <v>1636</v>
      </c>
      <c r="M53" s="3" t="s">
        <v>1639</v>
      </c>
      <c r="N53" s="3"/>
      <c r="O53" s="5"/>
      <c r="P53" s="3"/>
      <c r="Q53" s="3" t="s">
        <v>756</v>
      </c>
      <c r="R53" s="3"/>
      <c r="S53" s="3"/>
      <c r="T53" s="9"/>
      <c r="U53" s="3"/>
      <c r="V53" s="3"/>
      <c r="W53" s="3"/>
      <c r="X53" s="4"/>
      <c r="Y53" s="134">
        <v>897483.54</v>
      </c>
      <c r="Z53" s="134">
        <v>919728.16</v>
      </c>
      <c r="AA53" s="134">
        <v>908972.24</v>
      </c>
      <c r="AB53" s="134">
        <v>891420.21</v>
      </c>
      <c r="AC53" s="134">
        <v>900078.77</v>
      </c>
      <c r="AD53" s="134">
        <v>924836.21</v>
      </c>
      <c r="AE53" s="134">
        <v>929044.08</v>
      </c>
      <c r="AF53" s="134">
        <v>962034.43</v>
      </c>
      <c r="AG53" s="134">
        <v>985328.36</v>
      </c>
      <c r="AH53" s="134">
        <v>986364.77</v>
      </c>
      <c r="AI53" s="134">
        <v>1007175.55</v>
      </c>
      <c r="AJ53" s="134">
        <v>997454.76</v>
      </c>
      <c r="AK53" s="134">
        <v>1017838.81</v>
      </c>
      <c r="AL53" s="134">
        <v>1037471.08</v>
      </c>
      <c r="AM53" s="134">
        <v>996943.52</v>
      </c>
      <c r="AN53" s="134">
        <v>1024731.8</v>
      </c>
      <c r="AO53" s="137">
        <v>1023027.96</v>
      </c>
      <c r="AP53" s="137">
        <v>1028917.73</v>
      </c>
    </row>
    <row r="54" spans="1:42">
      <c r="A54" s="1" t="s">
        <v>1524</v>
      </c>
      <c r="B54" s="6" t="s">
        <v>1432</v>
      </c>
      <c r="C54" s="6" t="s">
        <v>1432</v>
      </c>
      <c r="D54" s="6" t="s">
        <v>1432</v>
      </c>
      <c r="E54" s="3" t="s">
        <v>1495</v>
      </c>
      <c r="F54" s="3" t="s">
        <v>1654</v>
      </c>
      <c r="G54" s="6" t="s">
        <v>1589</v>
      </c>
      <c r="H54" s="7">
        <v>6700800</v>
      </c>
      <c r="I54" s="2"/>
      <c r="J54" s="2" t="s">
        <v>1652</v>
      </c>
      <c r="K54" s="8"/>
      <c r="L54" s="8" t="s">
        <v>1636</v>
      </c>
      <c r="M54" s="3" t="s">
        <v>1639</v>
      </c>
      <c r="N54" s="3"/>
      <c r="O54" s="5"/>
      <c r="P54" s="3"/>
      <c r="Q54" s="3" t="s">
        <v>756</v>
      </c>
      <c r="R54" s="3"/>
      <c r="S54" s="3"/>
      <c r="T54" s="9"/>
      <c r="U54" s="3"/>
      <c r="V54" s="3"/>
      <c r="W54" s="3"/>
      <c r="X54" s="4"/>
      <c r="Y54" s="136">
        <v>0</v>
      </c>
      <c r="Z54" s="136">
        <v>0</v>
      </c>
      <c r="AA54" s="136">
        <v>0</v>
      </c>
      <c r="AB54" s="136">
        <v>0</v>
      </c>
      <c r="AC54" s="136">
        <v>0</v>
      </c>
      <c r="AD54" s="136">
        <v>0</v>
      </c>
      <c r="AE54" s="136">
        <v>0</v>
      </c>
      <c r="AF54" s="136">
        <v>0</v>
      </c>
      <c r="AG54" s="136">
        <v>0</v>
      </c>
      <c r="AH54" s="136">
        <v>0</v>
      </c>
      <c r="AI54" s="136">
        <v>0</v>
      </c>
      <c r="AJ54" s="136">
        <v>0</v>
      </c>
      <c r="AK54" s="136">
        <v>1124902.3</v>
      </c>
      <c r="AL54" s="136">
        <v>1127996.3799999999</v>
      </c>
      <c r="AM54" s="136">
        <v>1121864.3600000001</v>
      </c>
      <c r="AN54" s="136">
        <v>1133077.42</v>
      </c>
      <c r="AO54" s="136">
        <v>1142384.6100000001</v>
      </c>
      <c r="AP54" s="136">
        <v>1136494.1299999999</v>
      </c>
    </row>
    <row r="55" spans="1:42">
      <c r="A55" s="1" t="s">
        <v>14</v>
      </c>
      <c r="B55" s="6" t="s">
        <v>1402</v>
      </c>
      <c r="C55" s="6" t="s">
        <v>1402</v>
      </c>
      <c r="D55" s="6" t="s">
        <v>1402</v>
      </c>
      <c r="E55" s="3" t="s">
        <v>1495</v>
      </c>
      <c r="F55" s="3" t="s">
        <v>1654</v>
      </c>
      <c r="G55" s="6" t="s">
        <v>1531</v>
      </c>
      <c r="H55" s="7">
        <v>2729546</v>
      </c>
      <c r="I55" s="2"/>
      <c r="J55" s="2" t="s">
        <v>1652</v>
      </c>
      <c r="K55" s="8"/>
      <c r="L55" s="8" t="s">
        <v>1636</v>
      </c>
      <c r="M55" s="3" t="s">
        <v>1638</v>
      </c>
      <c r="N55" s="3"/>
      <c r="O55" s="5"/>
      <c r="P55" s="3"/>
      <c r="Q55" s="3" t="s">
        <v>1397</v>
      </c>
      <c r="R55" s="3"/>
      <c r="S55" s="3"/>
      <c r="T55" s="9"/>
      <c r="U55" s="3"/>
      <c r="V55" s="3"/>
      <c r="W55" s="3"/>
      <c r="X55" s="4"/>
      <c r="Y55" s="135">
        <v>900311.38</v>
      </c>
      <c r="Z55" s="135">
        <v>910266.93</v>
      </c>
      <c r="AA55" s="135">
        <v>927254.9</v>
      </c>
      <c r="AB55" s="135">
        <v>949670.15</v>
      </c>
      <c r="AC55" s="135">
        <v>954114.35</v>
      </c>
      <c r="AD55" s="135">
        <v>961257.49</v>
      </c>
      <c r="AE55" s="135">
        <v>960593.51</v>
      </c>
      <c r="AF55" s="135">
        <v>972543.57</v>
      </c>
      <c r="AG55" s="135">
        <v>989595.67</v>
      </c>
      <c r="AH55" s="135">
        <v>994207.21</v>
      </c>
      <c r="AI55" s="135">
        <v>1003862.97</v>
      </c>
      <c r="AJ55" s="135">
        <v>1019866.39</v>
      </c>
      <c r="AK55" s="135">
        <v>1034089.32</v>
      </c>
      <c r="AL55" s="135">
        <v>0</v>
      </c>
      <c r="AM55" s="135">
        <v>1578221.39</v>
      </c>
      <c r="AN55" s="135">
        <v>1617757.12</v>
      </c>
      <c r="AO55" s="135">
        <v>1630257.0221929101</v>
      </c>
      <c r="AP55" s="136">
        <v>1655745.0663445999</v>
      </c>
    </row>
    <row r="56" spans="1:42">
      <c r="A56" s="1" t="s">
        <v>14</v>
      </c>
      <c r="B56" s="6" t="s">
        <v>1419</v>
      </c>
      <c r="C56" s="6" t="s">
        <v>1419</v>
      </c>
      <c r="D56" s="6" t="s">
        <v>1468</v>
      </c>
      <c r="E56" s="3" t="s">
        <v>1495</v>
      </c>
      <c r="F56" s="3" t="s">
        <v>1655</v>
      </c>
      <c r="G56" s="6" t="s">
        <v>1562</v>
      </c>
      <c r="H56" s="7">
        <v>5166121</v>
      </c>
      <c r="I56" s="2"/>
      <c r="J56" s="2" t="s">
        <v>1652</v>
      </c>
      <c r="K56" s="8"/>
      <c r="L56" s="8" t="s">
        <v>1636</v>
      </c>
      <c r="M56" s="3" t="s">
        <v>1643</v>
      </c>
      <c r="N56" s="3"/>
      <c r="O56" s="5"/>
      <c r="P56" s="3"/>
      <c r="Q56" s="3" t="s">
        <v>756</v>
      </c>
      <c r="R56" s="3"/>
      <c r="S56" s="3"/>
      <c r="T56" s="9"/>
      <c r="U56" s="3"/>
      <c r="V56" s="3"/>
      <c r="W56" s="3"/>
      <c r="X56" s="4"/>
      <c r="Y56" s="135">
        <v>1099204.07</v>
      </c>
      <c r="Z56" s="135">
        <v>6460453.4000000004</v>
      </c>
      <c r="AA56" s="135">
        <v>11037679.58</v>
      </c>
      <c r="AB56" s="135">
        <v>603262.06999999995</v>
      </c>
      <c r="AC56" s="135">
        <v>1500000</v>
      </c>
      <c r="AD56" s="135">
        <v>400490.81</v>
      </c>
      <c r="AE56" s="135">
        <v>0</v>
      </c>
      <c r="AF56" s="135">
        <v>2306715.96</v>
      </c>
      <c r="AG56" s="135">
        <v>3939262.16</v>
      </c>
      <c r="AH56" s="135">
        <v>4063398.84</v>
      </c>
      <c r="AI56" s="135">
        <v>5562273.4900000002</v>
      </c>
      <c r="AJ56" s="135">
        <v>10847606.140000001</v>
      </c>
      <c r="AK56" s="135">
        <v>7000000</v>
      </c>
      <c r="AL56" s="135">
        <v>6385009.0700000003</v>
      </c>
      <c r="AM56" s="135">
        <v>1348548.5</v>
      </c>
      <c r="AN56" s="135">
        <v>907954.18</v>
      </c>
      <c r="AO56" s="135">
        <v>4005845.6448764298</v>
      </c>
      <c r="AP56" s="136">
        <v>901.15</v>
      </c>
    </row>
    <row r="57" spans="1:42">
      <c r="A57" s="1" t="s">
        <v>14</v>
      </c>
      <c r="B57" s="6" t="s">
        <v>1518</v>
      </c>
      <c r="C57" s="6" t="s">
        <v>1518</v>
      </c>
      <c r="D57" s="6" t="s">
        <v>1527</v>
      </c>
      <c r="E57" s="3" t="s">
        <v>1496</v>
      </c>
      <c r="F57" s="3" t="s">
        <v>1654</v>
      </c>
      <c r="G57" s="6" t="s">
        <v>1630</v>
      </c>
      <c r="H57" s="7">
        <v>19301650</v>
      </c>
      <c r="I57" s="2"/>
      <c r="J57" s="2" t="s">
        <v>1652</v>
      </c>
      <c r="K57" s="8"/>
      <c r="L57" s="8" t="s">
        <v>1636</v>
      </c>
      <c r="M57" s="3" t="s">
        <v>1644</v>
      </c>
      <c r="N57" s="3"/>
      <c r="O57" s="5"/>
      <c r="P57" s="3"/>
      <c r="Q57" s="3" t="s">
        <v>1397</v>
      </c>
      <c r="R57" s="3"/>
      <c r="S57" s="3"/>
      <c r="T57" s="9"/>
      <c r="U57" s="3"/>
      <c r="V57" s="3"/>
      <c r="W57" s="3"/>
      <c r="X57" s="4"/>
      <c r="Y57" s="135">
        <v>0</v>
      </c>
      <c r="Z57" s="135">
        <v>0</v>
      </c>
      <c r="AA57" s="135">
        <v>0</v>
      </c>
      <c r="AB57" s="135">
        <v>0</v>
      </c>
      <c r="AC57" s="135">
        <v>0</v>
      </c>
      <c r="AD57" s="135">
        <v>0</v>
      </c>
      <c r="AE57" s="135">
        <v>0</v>
      </c>
      <c r="AF57" s="135">
        <v>0</v>
      </c>
      <c r="AG57" s="135">
        <v>0</v>
      </c>
      <c r="AH57" s="135">
        <v>0</v>
      </c>
      <c r="AI57" s="135">
        <v>0</v>
      </c>
      <c r="AJ57" s="135">
        <v>0</v>
      </c>
      <c r="AK57" s="135">
        <v>0</v>
      </c>
      <c r="AL57" s="135">
        <v>6636.99</v>
      </c>
      <c r="AM57" s="135">
        <v>0</v>
      </c>
      <c r="AN57" s="135">
        <v>0</v>
      </c>
      <c r="AO57" s="135">
        <v>0</v>
      </c>
      <c r="AP57" s="136">
        <v>0</v>
      </c>
    </row>
    <row r="58" spans="1:42">
      <c r="A58" s="1" t="s">
        <v>14</v>
      </c>
      <c r="B58" s="6" t="s">
        <v>1404</v>
      </c>
      <c r="C58" s="6" t="s">
        <v>1404</v>
      </c>
      <c r="D58" s="6" t="s">
        <v>1404</v>
      </c>
      <c r="E58" s="3" t="s">
        <v>1495</v>
      </c>
      <c r="F58" s="3" t="s">
        <v>1654</v>
      </c>
      <c r="G58" s="6" t="s">
        <v>1534</v>
      </c>
      <c r="H58" s="7">
        <v>3082235</v>
      </c>
      <c r="I58" s="2"/>
      <c r="J58" s="2" t="s">
        <v>1652</v>
      </c>
      <c r="K58" s="8"/>
      <c r="L58" s="8" t="s">
        <v>1636</v>
      </c>
      <c r="M58" s="3" t="s">
        <v>1638</v>
      </c>
      <c r="N58" s="3"/>
      <c r="O58" s="5"/>
      <c r="P58" s="3"/>
      <c r="Q58" s="3" t="s">
        <v>1397</v>
      </c>
      <c r="R58" s="3"/>
      <c r="S58" s="3"/>
      <c r="T58" s="9"/>
      <c r="U58" s="3"/>
      <c r="V58" s="3"/>
      <c r="W58" s="3"/>
      <c r="X58" s="4"/>
      <c r="Y58" s="135">
        <v>842859.53</v>
      </c>
      <c r="Z58" s="135">
        <v>821310.58</v>
      </c>
      <c r="AA58" s="135">
        <v>827859.33</v>
      </c>
      <c r="AB58" s="135">
        <v>834896.68</v>
      </c>
      <c r="AC58" s="135">
        <v>839153.8</v>
      </c>
      <c r="AD58" s="135">
        <v>838196.09</v>
      </c>
      <c r="AE58" s="135">
        <v>834752.35</v>
      </c>
      <c r="AF58" s="135">
        <v>847631.12</v>
      </c>
      <c r="AG58" s="135">
        <v>856337.09</v>
      </c>
      <c r="AH58" s="135">
        <v>863470.66</v>
      </c>
      <c r="AI58" s="135">
        <v>886125.16</v>
      </c>
      <c r="AJ58" s="135">
        <v>892471.32</v>
      </c>
      <c r="AK58" s="135">
        <v>904811.44</v>
      </c>
      <c r="AL58" s="135">
        <v>1195391.0900000001</v>
      </c>
      <c r="AM58" s="135">
        <v>907040.29</v>
      </c>
      <c r="AN58" s="135">
        <v>916034.78</v>
      </c>
      <c r="AO58" s="135">
        <v>893089.05540009995</v>
      </c>
      <c r="AP58" s="136">
        <v>904439.95585094998</v>
      </c>
    </row>
    <row r="59" spans="1:42">
      <c r="A59" s="1" t="s">
        <v>14</v>
      </c>
      <c r="B59" s="6" t="s">
        <v>1405</v>
      </c>
      <c r="C59" s="6" t="s">
        <v>1662</v>
      </c>
      <c r="D59" s="6" t="s">
        <v>1454</v>
      </c>
      <c r="E59" s="3" t="s">
        <v>1495</v>
      </c>
      <c r="F59" s="3" t="s">
        <v>1669</v>
      </c>
      <c r="G59" s="6" t="s">
        <v>1535</v>
      </c>
      <c r="H59" s="7">
        <v>7161258</v>
      </c>
      <c r="I59" s="2"/>
      <c r="J59" s="2" t="s">
        <v>1652</v>
      </c>
      <c r="K59" s="8"/>
      <c r="L59" s="8" t="s">
        <v>1636</v>
      </c>
      <c r="M59" s="3" t="s">
        <v>1639</v>
      </c>
      <c r="N59" s="3"/>
      <c r="O59" s="5"/>
      <c r="P59" s="3"/>
      <c r="Q59" s="3" t="s">
        <v>1397</v>
      </c>
      <c r="R59" s="3"/>
      <c r="S59" s="3"/>
      <c r="T59" s="9"/>
      <c r="U59" s="3"/>
      <c r="V59" s="3"/>
      <c r="W59" s="3"/>
      <c r="X59" s="4"/>
      <c r="Y59" s="135">
        <v>5724035.4400000004</v>
      </c>
      <c r="Z59" s="135">
        <v>7050981.9299999997</v>
      </c>
      <c r="AA59" s="135">
        <v>7100455.6699999999</v>
      </c>
      <c r="AB59" s="135">
        <v>8381283.0999999996</v>
      </c>
      <c r="AC59" s="135">
        <v>7258613.6900000004</v>
      </c>
      <c r="AD59" s="135">
        <v>7536187.2300000004</v>
      </c>
      <c r="AE59" s="135">
        <v>8037733.2199999997</v>
      </c>
      <c r="AF59" s="135">
        <v>8115596.7999999998</v>
      </c>
      <c r="AG59" s="135">
        <v>8190526.8200000003</v>
      </c>
      <c r="AH59" s="135">
        <v>8267795.1900000004</v>
      </c>
      <c r="AI59" s="135">
        <v>8337940.6699999999</v>
      </c>
      <c r="AJ59" s="135">
        <v>8457664.0700000003</v>
      </c>
      <c r="AK59" s="135">
        <v>8863658.0299999993</v>
      </c>
      <c r="AL59" s="135">
        <v>914308.34</v>
      </c>
      <c r="AM59" s="135">
        <v>8552237.3399999999</v>
      </c>
      <c r="AN59" s="135">
        <v>8653907.7699999996</v>
      </c>
      <c r="AO59" s="135">
        <v>9979883.6799959801</v>
      </c>
      <c r="AP59" s="136">
        <v>10069725.13108127</v>
      </c>
    </row>
    <row r="60" spans="1:42">
      <c r="A60" s="1" t="s">
        <v>14</v>
      </c>
      <c r="B60" s="6" t="s">
        <v>1406</v>
      </c>
      <c r="C60" s="6" t="s">
        <v>1662</v>
      </c>
      <c r="D60" s="6" t="s">
        <v>1455</v>
      </c>
      <c r="E60" s="3" t="s">
        <v>1495</v>
      </c>
      <c r="F60" s="3" t="s">
        <v>1655</v>
      </c>
      <c r="G60" s="6" t="s">
        <v>1536</v>
      </c>
      <c r="H60" s="7">
        <v>6445064</v>
      </c>
      <c r="I60" s="2"/>
      <c r="J60" s="2" t="s">
        <v>1652</v>
      </c>
      <c r="K60" s="8"/>
      <c r="L60" s="8" t="s">
        <v>1636</v>
      </c>
      <c r="M60" s="3" t="s">
        <v>15</v>
      </c>
      <c r="N60" s="3"/>
      <c r="O60" s="5"/>
      <c r="P60" s="3"/>
      <c r="Q60" s="3" t="s">
        <v>756</v>
      </c>
      <c r="R60" s="3"/>
      <c r="S60" s="3"/>
      <c r="T60" s="9"/>
      <c r="U60" s="3"/>
      <c r="V60" s="3"/>
      <c r="W60" s="3"/>
      <c r="X60" s="4"/>
      <c r="Y60" s="135">
        <v>40189677.729999997</v>
      </c>
      <c r="Z60" s="135">
        <v>40586107.07</v>
      </c>
      <c r="AA60" s="135">
        <v>41039124.009999998</v>
      </c>
      <c r="AB60" s="135">
        <v>41502654.810000002</v>
      </c>
      <c r="AC60" s="135">
        <v>41781124.770000003</v>
      </c>
      <c r="AD60" s="135">
        <v>42184720.789999999</v>
      </c>
      <c r="AE60" s="135">
        <v>42754263.799999997</v>
      </c>
      <c r="AF60" s="135">
        <v>43241444.439999998</v>
      </c>
      <c r="AG60" s="135">
        <v>43765446.729999997</v>
      </c>
      <c r="AH60" s="135">
        <v>44271404.039999999</v>
      </c>
      <c r="AI60" s="135">
        <v>44702138.75</v>
      </c>
      <c r="AJ60" s="135">
        <v>45238981.369999997</v>
      </c>
      <c r="AK60" s="135">
        <v>45830001.200000003</v>
      </c>
      <c r="AL60" s="135">
        <v>8892808.7400000002</v>
      </c>
      <c r="AM60" s="135">
        <v>40122653.240000002</v>
      </c>
      <c r="AN60" s="135">
        <v>40554537.710000001</v>
      </c>
      <c r="AO60" s="135">
        <v>76965567.124922916</v>
      </c>
      <c r="AP60" s="136">
        <v>52501395.187700287</v>
      </c>
    </row>
    <row r="61" spans="1:42">
      <c r="A61" s="1" t="s">
        <v>14</v>
      </c>
      <c r="B61" s="6" t="s">
        <v>1409</v>
      </c>
      <c r="C61" s="6" t="s">
        <v>1409</v>
      </c>
      <c r="D61" s="6" t="s">
        <v>1458</v>
      </c>
      <c r="E61" s="3" t="s">
        <v>1495</v>
      </c>
      <c r="F61" s="3" t="s">
        <v>1654</v>
      </c>
      <c r="G61" s="6" t="s">
        <v>1541</v>
      </c>
      <c r="H61" s="7">
        <v>3246094</v>
      </c>
      <c r="I61" s="2"/>
      <c r="J61" s="2" t="s">
        <v>1652</v>
      </c>
      <c r="K61" s="8"/>
      <c r="L61" s="8" t="s">
        <v>1636</v>
      </c>
      <c r="M61" s="3" t="s">
        <v>1638</v>
      </c>
      <c r="N61" s="3"/>
      <c r="O61" s="5"/>
      <c r="P61" s="3"/>
      <c r="Q61" s="3" t="s">
        <v>1397</v>
      </c>
      <c r="R61" s="3"/>
      <c r="S61" s="3"/>
      <c r="T61" s="9"/>
      <c r="U61" s="3"/>
      <c r="V61" s="3"/>
      <c r="W61" s="3"/>
      <c r="X61" s="4"/>
      <c r="Y61" s="135">
        <v>783044.98</v>
      </c>
      <c r="Z61" s="135">
        <v>808862.46</v>
      </c>
      <c r="AA61" s="135">
        <v>816716.01</v>
      </c>
      <c r="AB61" s="135">
        <v>830399.74</v>
      </c>
      <c r="AC61" s="135">
        <v>903136.85</v>
      </c>
      <c r="AD61" s="135">
        <v>914233.09</v>
      </c>
      <c r="AE61" s="135">
        <v>930981.93</v>
      </c>
      <c r="AF61" s="135">
        <v>956421.09</v>
      </c>
      <c r="AG61" s="135">
        <v>967089.61</v>
      </c>
      <c r="AH61" s="135">
        <v>989736.82</v>
      </c>
      <c r="AI61" s="135">
        <v>1014779.88</v>
      </c>
      <c r="AJ61" s="135">
        <v>1044223.99</v>
      </c>
      <c r="AK61" s="135">
        <v>1071102.3600000001</v>
      </c>
      <c r="AL61" s="135">
        <v>46243802.420000002</v>
      </c>
      <c r="AM61" s="135">
        <v>1088663.76</v>
      </c>
      <c r="AN61" s="135">
        <v>1104854.46</v>
      </c>
      <c r="AO61" s="135">
        <v>1115960.69263579</v>
      </c>
      <c r="AP61" s="136">
        <v>1123650.08988347</v>
      </c>
    </row>
    <row r="62" spans="1:42">
      <c r="A62" s="1" t="s">
        <v>14</v>
      </c>
      <c r="B62" s="6" t="s">
        <v>1521</v>
      </c>
      <c r="C62" s="6" t="s">
        <v>1419</v>
      </c>
      <c r="D62" s="6" t="s">
        <v>1521</v>
      </c>
      <c r="E62" s="3" t="s">
        <v>1495</v>
      </c>
      <c r="F62" s="3" t="s">
        <v>1654</v>
      </c>
      <c r="G62" s="6" t="s">
        <v>1629</v>
      </c>
      <c r="H62" s="7">
        <v>19003827</v>
      </c>
      <c r="I62" s="2"/>
      <c r="J62" s="2" t="s">
        <v>1652</v>
      </c>
      <c r="K62" s="8"/>
      <c r="L62" s="8" t="s">
        <v>1636</v>
      </c>
      <c r="M62" s="3" t="s">
        <v>1638</v>
      </c>
      <c r="N62" s="3"/>
      <c r="O62" s="5"/>
      <c r="P62" s="3"/>
      <c r="Q62" s="3" t="s">
        <v>1397</v>
      </c>
      <c r="R62" s="3"/>
      <c r="S62" s="3"/>
      <c r="T62" s="9"/>
      <c r="U62" s="3"/>
      <c r="V62" s="3"/>
      <c r="W62" s="3"/>
      <c r="X62" s="4"/>
      <c r="Y62" s="135">
        <v>0</v>
      </c>
      <c r="Z62" s="135">
        <v>0</v>
      </c>
      <c r="AA62" s="135">
        <v>0</v>
      </c>
      <c r="AB62" s="135">
        <v>0</v>
      </c>
      <c r="AC62" s="135">
        <v>0</v>
      </c>
      <c r="AD62" s="135">
        <v>0</v>
      </c>
      <c r="AE62" s="135">
        <v>0</v>
      </c>
      <c r="AF62" s="135">
        <v>0</v>
      </c>
      <c r="AG62" s="135">
        <v>0</v>
      </c>
      <c r="AH62" s="135">
        <v>0</v>
      </c>
      <c r="AI62" s="135">
        <v>0</v>
      </c>
      <c r="AJ62" s="135">
        <v>5000</v>
      </c>
      <c r="AK62" s="135">
        <v>5080.08</v>
      </c>
      <c r="AL62" s="135">
        <v>0</v>
      </c>
      <c r="AM62" s="135">
        <v>6593.65</v>
      </c>
      <c r="AN62" s="135">
        <v>18670.62</v>
      </c>
      <c r="AO62" s="135">
        <v>101461.27587300001</v>
      </c>
      <c r="AP62" s="136">
        <v>102504.30751499999</v>
      </c>
    </row>
    <row r="63" spans="1:42">
      <c r="A63" s="1" t="s">
        <v>14</v>
      </c>
      <c r="B63" s="6" t="s">
        <v>1419</v>
      </c>
      <c r="C63" s="6" t="s">
        <v>1419</v>
      </c>
      <c r="D63" s="6" t="s">
        <v>1471</v>
      </c>
      <c r="E63" s="3" t="s">
        <v>1495</v>
      </c>
      <c r="F63" s="3" t="s">
        <v>1655</v>
      </c>
      <c r="G63" s="6" t="s">
        <v>1565</v>
      </c>
      <c r="H63" s="7">
        <v>11370136</v>
      </c>
      <c r="I63" s="2"/>
      <c r="J63" s="2" t="s">
        <v>1652</v>
      </c>
      <c r="K63" s="8"/>
      <c r="L63" s="8" t="s">
        <v>1636</v>
      </c>
      <c r="M63" s="3" t="s">
        <v>1643</v>
      </c>
      <c r="N63" s="3"/>
      <c r="O63" s="5"/>
      <c r="P63" s="3"/>
      <c r="Q63" s="3" t="s">
        <v>756</v>
      </c>
      <c r="R63" s="3"/>
      <c r="S63" s="3"/>
      <c r="T63" s="9"/>
      <c r="U63" s="3"/>
      <c r="V63" s="3"/>
      <c r="W63" s="3"/>
      <c r="X63" s="4"/>
      <c r="Y63" s="135">
        <v>0</v>
      </c>
      <c r="Z63" s="135">
        <v>0</v>
      </c>
      <c r="AA63" s="135">
        <v>0</v>
      </c>
      <c r="AB63" s="135">
        <v>0</v>
      </c>
      <c r="AC63" s="135">
        <v>0</v>
      </c>
      <c r="AD63" s="135">
        <v>1105471.27</v>
      </c>
      <c r="AE63" s="135">
        <v>0</v>
      </c>
      <c r="AF63" s="135">
        <v>0</v>
      </c>
      <c r="AG63" s="135">
        <v>0</v>
      </c>
      <c r="AH63" s="135">
        <v>2206631.81</v>
      </c>
      <c r="AI63" s="135">
        <v>1765786.25</v>
      </c>
      <c r="AJ63" s="135">
        <v>1200088.04</v>
      </c>
      <c r="AK63" s="135">
        <v>0</v>
      </c>
      <c r="AL63" s="135">
        <v>1502654.77</v>
      </c>
      <c r="AM63" s="135">
        <v>369.86</v>
      </c>
      <c r="AN63" s="135">
        <v>369.86</v>
      </c>
      <c r="AO63" s="135">
        <v>369.86</v>
      </c>
      <c r="AP63" s="136">
        <v>369.86</v>
      </c>
    </row>
    <row r="64" spans="1:42">
      <c r="A64" s="1" t="s">
        <v>14</v>
      </c>
      <c r="B64" s="6" t="s">
        <v>1410</v>
      </c>
      <c r="C64" s="6" t="s">
        <v>1413</v>
      </c>
      <c r="D64" s="6" t="s">
        <v>1410</v>
      </c>
      <c r="E64" s="3" t="s">
        <v>1495</v>
      </c>
      <c r="F64" s="3" t="s">
        <v>1669</v>
      </c>
      <c r="G64" s="6" t="s">
        <v>1542</v>
      </c>
      <c r="H64" s="7">
        <v>17736177</v>
      </c>
      <c r="I64" s="2"/>
      <c r="J64" s="2" t="s">
        <v>1652</v>
      </c>
      <c r="K64" s="8"/>
      <c r="L64" s="8" t="s">
        <v>1636</v>
      </c>
      <c r="M64" s="3" t="s">
        <v>1640</v>
      </c>
      <c r="N64" s="3"/>
      <c r="O64" s="5"/>
      <c r="P64" s="3"/>
      <c r="Q64" s="3" t="s">
        <v>1397</v>
      </c>
      <c r="R64" s="3"/>
      <c r="S64" s="3"/>
      <c r="T64" s="9"/>
      <c r="U64" s="3"/>
      <c r="V64" s="3"/>
      <c r="W64" s="3"/>
      <c r="X64" s="4"/>
      <c r="Y64" s="135">
        <v>0</v>
      </c>
      <c r="Z64" s="135">
        <v>39201.47</v>
      </c>
      <c r="AA64" s="135">
        <v>39615.5</v>
      </c>
      <c r="AB64" s="135">
        <v>40049.93</v>
      </c>
      <c r="AC64" s="135">
        <v>45311.72</v>
      </c>
      <c r="AD64" s="135">
        <v>45804.75</v>
      </c>
      <c r="AE64" s="135">
        <v>56427.18</v>
      </c>
      <c r="AF64" s="135">
        <v>57134.9</v>
      </c>
      <c r="AG64" s="135">
        <v>57872.18</v>
      </c>
      <c r="AH64" s="135">
        <v>133525.82</v>
      </c>
      <c r="AI64" s="135">
        <v>134578.13</v>
      </c>
      <c r="AJ64" s="135">
        <v>147293.51</v>
      </c>
      <c r="AK64" s="135">
        <v>92783.99</v>
      </c>
      <c r="AL64" s="135">
        <v>1083749.26</v>
      </c>
      <c r="AM64" s="135">
        <v>93708.79</v>
      </c>
      <c r="AN64" s="135">
        <v>94117.24</v>
      </c>
      <c r="AO64" s="135">
        <v>292270.84644400002</v>
      </c>
      <c r="AP64" s="136">
        <v>293424.23398700001</v>
      </c>
    </row>
    <row r="65" spans="1:42">
      <c r="A65" s="1" t="s">
        <v>14</v>
      </c>
      <c r="B65" s="6" t="s">
        <v>1413</v>
      </c>
      <c r="C65" s="6" t="s">
        <v>1413</v>
      </c>
      <c r="D65" s="6" t="s">
        <v>1410</v>
      </c>
      <c r="E65" s="3" t="s">
        <v>1495</v>
      </c>
      <c r="F65" s="3" t="s">
        <v>1669</v>
      </c>
      <c r="G65" s="6" t="s">
        <v>1551</v>
      </c>
      <c r="H65" s="7">
        <v>17208214</v>
      </c>
      <c r="I65" s="2"/>
      <c r="J65" s="2" t="s">
        <v>1652</v>
      </c>
      <c r="K65" s="8"/>
      <c r="L65" s="8" t="s">
        <v>1636</v>
      </c>
      <c r="M65" s="3" t="s">
        <v>1640</v>
      </c>
      <c r="N65" s="3"/>
      <c r="O65" s="5"/>
      <c r="P65" s="3"/>
      <c r="Q65" s="3" t="s">
        <v>756</v>
      </c>
      <c r="R65" s="3"/>
      <c r="S65" s="3"/>
      <c r="T65" s="9"/>
      <c r="U65" s="3"/>
      <c r="V65" s="3"/>
      <c r="W65" s="3"/>
      <c r="X65" s="4"/>
      <c r="Y65" s="135">
        <v>6460275.21</v>
      </c>
      <c r="Z65" s="135">
        <v>6325610.29</v>
      </c>
      <c r="AA65" s="135">
        <v>6301303.6600000001</v>
      </c>
      <c r="AB65" s="135">
        <v>6260679.3899999997</v>
      </c>
      <c r="AC65" s="135">
        <v>6048682.46</v>
      </c>
      <c r="AD65" s="135">
        <v>5979863.8700000001</v>
      </c>
      <c r="AE65" s="135">
        <v>5862415.9500000002</v>
      </c>
      <c r="AF65" s="135">
        <v>5817956.8300000001</v>
      </c>
      <c r="AG65" s="135">
        <v>9268241.9000000004</v>
      </c>
      <c r="AH65" s="135">
        <v>12905114.609999999</v>
      </c>
      <c r="AI65" s="135">
        <v>12808622.85</v>
      </c>
      <c r="AJ65" s="135">
        <v>12790610.17</v>
      </c>
      <c r="AK65" s="135">
        <v>12763590.869999999</v>
      </c>
      <c r="AL65" s="135">
        <v>1008740</v>
      </c>
      <c r="AM65" s="135">
        <v>12584149.529999999</v>
      </c>
      <c r="AN65" s="135">
        <v>12656087.029999999</v>
      </c>
      <c r="AO65" s="135">
        <v>12787494.019932119</v>
      </c>
      <c r="AP65" s="136">
        <v>12792920.76867996</v>
      </c>
    </row>
    <row r="66" spans="1:42">
      <c r="A66" s="1" t="s">
        <v>14</v>
      </c>
      <c r="B66" s="6" t="s">
        <v>1411</v>
      </c>
      <c r="C66" s="6" t="s">
        <v>1411</v>
      </c>
      <c r="D66" s="6" t="s">
        <v>1461</v>
      </c>
      <c r="E66" s="3" t="s">
        <v>1495</v>
      </c>
      <c r="F66" s="3" t="s">
        <v>1654</v>
      </c>
      <c r="G66" s="6" t="s">
        <v>1545</v>
      </c>
      <c r="H66" s="7">
        <v>500819</v>
      </c>
      <c r="I66" s="2"/>
      <c r="J66" s="2" t="s">
        <v>1652</v>
      </c>
      <c r="K66" s="8"/>
      <c r="L66" s="8" t="s">
        <v>1636</v>
      </c>
      <c r="M66" s="3" t="s">
        <v>1641</v>
      </c>
      <c r="N66" s="3"/>
      <c r="O66" s="5"/>
      <c r="P66" s="3"/>
      <c r="Q66" s="3" t="s">
        <v>756</v>
      </c>
      <c r="R66" s="3"/>
      <c r="S66" s="3"/>
      <c r="T66" s="9"/>
      <c r="U66" s="3"/>
      <c r="V66" s="3"/>
      <c r="W66" s="3"/>
      <c r="X66" s="4"/>
      <c r="Y66" s="135">
        <v>963088.63</v>
      </c>
      <c r="Z66" s="135">
        <v>956651.54</v>
      </c>
      <c r="AA66" s="135">
        <v>965131.45</v>
      </c>
      <c r="AB66" s="135">
        <v>990564.34</v>
      </c>
      <c r="AC66" s="135">
        <v>1000451.06</v>
      </c>
      <c r="AD66" s="135">
        <v>1005862.21</v>
      </c>
      <c r="AE66" s="135">
        <v>994499.88</v>
      </c>
      <c r="AF66" s="135">
        <v>1018942.32</v>
      </c>
      <c r="AG66" s="135">
        <v>1049967.1599999999</v>
      </c>
      <c r="AH66" s="135">
        <v>1065598.33</v>
      </c>
      <c r="AI66" s="135">
        <v>1098565.3999999999</v>
      </c>
      <c r="AJ66" s="135">
        <v>1154337.27</v>
      </c>
      <c r="AK66" s="135">
        <v>1186941.28</v>
      </c>
      <c r="AL66" s="135">
        <v>2825490.38</v>
      </c>
      <c r="AM66" s="135">
        <v>1212488.07</v>
      </c>
      <c r="AN66" s="135">
        <v>1231323.1100000001</v>
      </c>
      <c r="AO66" s="135">
        <v>1201103.275623</v>
      </c>
      <c r="AP66" s="136">
        <v>1197197.4108800001</v>
      </c>
    </row>
    <row r="67" spans="1:42">
      <c r="A67" s="1" t="s">
        <v>14</v>
      </c>
      <c r="B67" s="6" t="s">
        <v>1412</v>
      </c>
      <c r="C67" s="6" t="s">
        <v>1667</v>
      </c>
      <c r="D67" s="6" t="s">
        <v>1412</v>
      </c>
      <c r="E67" s="3" t="s">
        <v>1495</v>
      </c>
      <c r="F67" s="3" t="s">
        <v>1654</v>
      </c>
      <c r="G67" s="6" t="s">
        <v>1548</v>
      </c>
      <c r="H67" s="7">
        <v>3721574</v>
      </c>
      <c r="I67" s="2"/>
      <c r="J67" s="2" t="s">
        <v>1652</v>
      </c>
      <c r="K67" s="8"/>
      <c r="L67" s="8" t="s">
        <v>1636</v>
      </c>
      <c r="M67" s="3" t="s">
        <v>1638</v>
      </c>
      <c r="N67" s="3"/>
      <c r="O67" s="5"/>
      <c r="P67" s="3"/>
      <c r="Q67" s="3" t="s">
        <v>1397</v>
      </c>
      <c r="R67" s="3"/>
      <c r="S67" s="3"/>
      <c r="T67" s="9"/>
      <c r="U67" s="3"/>
      <c r="V67" s="3"/>
      <c r="W67" s="3"/>
      <c r="X67" s="4"/>
      <c r="Y67" s="135">
        <v>737870.19</v>
      </c>
      <c r="Z67" s="135">
        <v>745621.41</v>
      </c>
      <c r="AA67" s="135">
        <v>757897.53</v>
      </c>
      <c r="AB67" s="135">
        <v>777794.81</v>
      </c>
      <c r="AC67" s="135">
        <v>897757.59</v>
      </c>
      <c r="AD67" s="135">
        <v>914478.1</v>
      </c>
      <c r="AE67" s="135">
        <v>929531.95</v>
      </c>
      <c r="AF67" s="135">
        <v>741588.82</v>
      </c>
      <c r="AG67" s="135">
        <v>760987.98</v>
      </c>
      <c r="AH67" s="135">
        <v>935298.07</v>
      </c>
      <c r="AI67" s="135">
        <v>988859.97</v>
      </c>
      <c r="AJ67" s="135">
        <v>1015455.02</v>
      </c>
      <c r="AK67" s="135">
        <v>1047184.55</v>
      </c>
      <c r="AL67" s="135">
        <v>1215001.71</v>
      </c>
      <c r="AM67" s="135">
        <v>1015674.71</v>
      </c>
      <c r="AN67" s="135">
        <v>1039592.15</v>
      </c>
      <c r="AO67" s="135">
        <v>1146849.2465498</v>
      </c>
      <c r="AP67" s="136">
        <v>1174288.4294937099</v>
      </c>
    </row>
    <row r="68" spans="1:42">
      <c r="A68" s="1" t="s">
        <v>14</v>
      </c>
      <c r="B68" s="6" t="s">
        <v>1414</v>
      </c>
      <c r="C68" s="6" t="s">
        <v>1414</v>
      </c>
      <c r="D68" s="6" t="s">
        <v>1414</v>
      </c>
      <c r="E68" s="3" t="s">
        <v>1495</v>
      </c>
      <c r="F68" s="3" t="s">
        <v>1654</v>
      </c>
      <c r="G68" s="6" t="s">
        <v>1555</v>
      </c>
      <c r="H68" s="7">
        <v>2408885</v>
      </c>
      <c r="I68" s="2"/>
      <c r="J68" s="2" t="s">
        <v>1653</v>
      </c>
      <c r="K68" s="8"/>
      <c r="L68" s="8" t="s">
        <v>1637</v>
      </c>
      <c r="M68" s="3" t="s">
        <v>1638</v>
      </c>
      <c r="N68" s="3"/>
      <c r="O68" s="5"/>
      <c r="P68" s="3"/>
      <c r="Q68" s="3" t="s">
        <v>756</v>
      </c>
      <c r="R68" s="3"/>
      <c r="S68" s="3"/>
      <c r="T68" s="9"/>
      <c r="U68" s="3"/>
      <c r="V68" s="3"/>
      <c r="W68" s="3"/>
      <c r="X68" s="4"/>
      <c r="Y68" s="135">
        <v>722051.16</v>
      </c>
      <c r="Z68" s="135">
        <v>848938.22</v>
      </c>
      <c r="AA68" s="135">
        <v>921707.5</v>
      </c>
      <c r="AB68" s="135">
        <v>1020064.06</v>
      </c>
      <c r="AC68" s="135">
        <v>1078527.8400000001</v>
      </c>
      <c r="AD68" s="135">
        <v>1130503.3500000001</v>
      </c>
      <c r="AE68" s="135">
        <v>1189880.74</v>
      </c>
      <c r="AF68" s="135">
        <v>1277766.97</v>
      </c>
      <c r="AG68" s="135">
        <v>1399184.68</v>
      </c>
      <c r="AH68" s="135">
        <v>1516368.62</v>
      </c>
      <c r="AI68" s="135">
        <v>1359155.16</v>
      </c>
      <c r="AJ68" s="135">
        <v>1435916.86</v>
      </c>
      <c r="AK68" s="135">
        <v>1575458.44</v>
      </c>
      <c r="AL68" s="135">
        <v>3864005.55</v>
      </c>
      <c r="AM68" s="135">
        <v>1673618.37</v>
      </c>
      <c r="AN68" s="135">
        <v>1822983.24</v>
      </c>
      <c r="AO68" s="135">
        <v>1958376.009114</v>
      </c>
      <c r="AP68" s="136">
        <v>2155103.4525830001</v>
      </c>
    </row>
    <row r="69" spans="1:42">
      <c r="A69" s="1" t="s">
        <v>14</v>
      </c>
      <c r="B69" s="6" t="s">
        <v>1415</v>
      </c>
      <c r="C69" s="6" t="s">
        <v>1668</v>
      </c>
      <c r="D69" s="6" t="s">
        <v>1415</v>
      </c>
      <c r="E69" s="3" t="s">
        <v>1495</v>
      </c>
      <c r="F69" s="3" t="s">
        <v>1654</v>
      </c>
      <c r="G69" s="6" t="s">
        <v>1557</v>
      </c>
      <c r="H69" s="7">
        <v>4760422</v>
      </c>
      <c r="I69" s="2"/>
      <c r="J69" s="2" t="s">
        <v>1652</v>
      </c>
      <c r="K69" s="8"/>
      <c r="L69" s="8" t="s">
        <v>1636</v>
      </c>
      <c r="M69" s="3" t="s">
        <v>1642</v>
      </c>
      <c r="N69" s="3"/>
      <c r="O69" s="5"/>
      <c r="P69" s="3"/>
      <c r="Q69" s="3" t="s">
        <v>1397</v>
      </c>
      <c r="R69" s="3"/>
      <c r="S69" s="3"/>
      <c r="T69" s="9"/>
      <c r="U69" s="3"/>
      <c r="V69" s="3"/>
      <c r="W69" s="3"/>
      <c r="X69" s="4"/>
      <c r="Y69" s="135">
        <v>88608.71</v>
      </c>
      <c r="Z69" s="135">
        <v>89165.6</v>
      </c>
      <c r="AA69" s="135">
        <v>90214.26</v>
      </c>
      <c r="AB69" s="135">
        <v>91167.29</v>
      </c>
      <c r="AC69" s="135">
        <v>92135.15</v>
      </c>
      <c r="AD69" s="135">
        <v>93107.82</v>
      </c>
      <c r="AE69" s="135">
        <v>94277.68</v>
      </c>
      <c r="AF69" s="135">
        <v>95378.66</v>
      </c>
      <c r="AG69" s="135">
        <v>118813.15</v>
      </c>
      <c r="AH69" s="135">
        <v>134922.93</v>
      </c>
      <c r="AI69" s="135">
        <v>139332.85</v>
      </c>
      <c r="AJ69" s="135">
        <v>142691.85</v>
      </c>
      <c r="AK69" s="135">
        <v>146632.70000000001</v>
      </c>
      <c r="AL69" s="135">
        <v>1593218.88</v>
      </c>
      <c r="AM69" s="135">
        <v>159691.03</v>
      </c>
      <c r="AN69" s="135">
        <v>166423.34</v>
      </c>
      <c r="AO69" s="135">
        <v>168211.390422</v>
      </c>
      <c r="AP69" s="136">
        <v>174548.71330800001</v>
      </c>
    </row>
    <row r="70" spans="1:42">
      <c r="A70" s="1" t="s">
        <v>14</v>
      </c>
      <c r="B70" s="6" t="s">
        <v>1416</v>
      </c>
      <c r="C70" s="6" t="s">
        <v>1416</v>
      </c>
      <c r="D70" s="6" t="s">
        <v>1416</v>
      </c>
      <c r="E70" s="3" t="s">
        <v>1495</v>
      </c>
      <c r="F70" s="3" t="s">
        <v>1654</v>
      </c>
      <c r="G70" s="6" t="s">
        <v>1558</v>
      </c>
      <c r="H70" s="7">
        <v>6860829</v>
      </c>
      <c r="I70" s="2"/>
      <c r="J70" s="2" t="s">
        <v>1652</v>
      </c>
      <c r="K70" s="8"/>
      <c r="L70" s="8" t="s">
        <v>1636</v>
      </c>
      <c r="M70" s="3" t="s">
        <v>1638</v>
      </c>
      <c r="N70" s="3"/>
      <c r="O70" s="5"/>
      <c r="P70" s="3"/>
      <c r="Q70" s="3" t="s">
        <v>1397</v>
      </c>
      <c r="R70" s="3"/>
      <c r="S70" s="3"/>
      <c r="T70" s="9"/>
      <c r="U70" s="3"/>
      <c r="V70" s="3"/>
      <c r="W70" s="3"/>
      <c r="X70" s="4"/>
      <c r="Y70" s="135">
        <v>1113999.47</v>
      </c>
      <c r="Z70" s="135">
        <v>1122201.76</v>
      </c>
      <c r="AA70" s="135">
        <v>1129381.47</v>
      </c>
      <c r="AB70" s="135">
        <v>1290944.5</v>
      </c>
      <c r="AC70" s="135">
        <v>1303954.07</v>
      </c>
      <c r="AD70" s="135">
        <v>1367296.42</v>
      </c>
      <c r="AE70" s="135">
        <v>1383405.73</v>
      </c>
      <c r="AF70" s="135">
        <v>1399229.08</v>
      </c>
      <c r="AG70" s="135">
        <v>1413384.27</v>
      </c>
      <c r="AH70" s="135">
        <v>1557502.3</v>
      </c>
      <c r="AI70" s="135">
        <v>1573060.38</v>
      </c>
      <c r="AJ70" s="135">
        <v>1596331.56</v>
      </c>
      <c r="AK70" s="135">
        <v>1615219.47</v>
      </c>
      <c r="AL70" s="135">
        <v>151386.99</v>
      </c>
      <c r="AM70" s="135">
        <v>1726490.83</v>
      </c>
      <c r="AN70" s="135">
        <v>1744387.58</v>
      </c>
      <c r="AO70" s="135">
        <v>1751233.9480941</v>
      </c>
      <c r="AP70" s="136">
        <v>1758549.3403783599</v>
      </c>
    </row>
    <row r="71" spans="1:42">
      <c r="A71" s="1" t="s">
        <v>14</v>
      </c>
      <c r="B71" s="6" t="s">
        <v>1417</v>
      </c>
      <c r="C71" s="6" t="s">
        <v>1417</v>
      </c>
      <c r="D71" s="6" t="s">
        <v>1417</v>
      </c>
      <c r="E71" s="3" t="s">
        <v>1495</v>
      </c>
      <c r="F71" s="3" t="s">
        <v>1654</v>
      </c>
      <c r="G71" s="6" t="s">
        <v>1559</v>
      </c>
      <c r="H71" s="7">
        <v>3004033</v>
      </c>
      <c r="I71" s="2"/>
      <c r="J71" s="2" t="s">
        <v>1652</v>
      </c>
      <c r="K71" s="8"/>
      <c r="L71" s="8" t="s">
        <v>1636</v>
      </c>
      <c r="M71" s="3" t="s">
        <v>1638</v>
      </c>
      <c r="N71" s="3"/>
      <c r="O71" s="5"/>
      <c r="P71" s="3"/>
      <c r="Q71" s="3" t="s">
        <v>1397</v>
      </c>
      <c r="R71" s="3"/>
      <c r="S71" s="3"/>
      <c r="T71" s="9"/>
      <c r="U71" s="3"/>
      <c r="V71" s="3"/>
      <c r="W71" s="3"/>
      <c r="X71" s="4"/>
      <c r="Y71" s="135">
        <v>1684682.79</v>
      </c>
      <c r="Z71" s="135">
        <v>1689665.67</v>
      </c>
      <c r="AA71" s="135">
        <v>1697970.07</v>
      </c>
      <c r="AB71" s="135">
        <v>1744809.69</v>
      </c>
      <c r="AC71" s="135">
        <v>1777623.35</v>
      </c>
      <c r="AD71" s="135">
        <v>1823966.72</v>
      </c>
      <c r="AE71" s="135">
        <v>1830617.39</v>
      </c>
      <c r="AF71" s="135">
        <v>1859687.27</v>
      </c>
      <c r="AG71" s="135">
        <v>1874912.49</v>
      </c>
      <c r="AH71" s="135">
        <v>1938795.88</v>
      </c>
      <c r="AI71" s="135">
        <v>1984795.51</v>
      </c>
      <c r="AJ71" s="135">
        <v>2012434.65</v>
      </c>
      <c r="AK71" s="135">
        <v>2087642.78</v>
      </c>
      <c r="AL71" s="135">
        <v>1625812.62</v>
      </c>
      <c r="AM71" s="135">
        <v>2066742.34</v>
      </c>
      <c r="AN71" s="135">
        <v>2113853.65</v>
      </c>
      <c r="AO71" s="135">
        <v>2190237.68172816</v>
      </c>
      <c r="AP71" s="136">
        <v>2195181.5619909</v>
      </c>
    </row>
    <row r="72" spans="1:42">
      <c r="A72" s="1" t="s">
        <v>14</v>
      </c>
      <c r="B72" s="6" t="s">
        <v>1418</v>
      </c>
      <c r="C72" s="6" t="s">
        <v>1466</v>
      </c>
      <c r="D72" s="6" t="s">
        <v>1466</v>
      </c>
      <c r="E72" s="3" t="s">
        <v>1496</v>
      </c>
      <c r="F72" s="3" t="s">
        <v>1654</v>
      </c>
      <c r="G72" s="6" t="s">
        <v>1560</v>
      </c>
      <c r="H72" s="7">
        <v>9317618</v>
      </c>
      <c r="I72" s="2"/>
      <c r="J72" s="2" t="s">
        <v>1652</v>
      </c>
      <c r="K72" s="8"/>
      <c r="L72" s="8" t="s">
        <v>1636</v>
      </c>
      <c r="M72" s="3" t="s">
        <v>1643</v>
      </c>
      <c r="N72" s="3"/>
      <c r="O72" s="5"/>
      <c r="P72" s="3"/>
      <c r="Q72" s="3" t="s">
        <v>1397</v>
      </c>
      <c r="R72" s="3"/>
      <c r="S72" s="3"/>
      <c r="T72" s="9"/>
      <c r="U72" s="3"/>
      <c r="V72" s="3"/>
      <c r="W72" s="3"/>
      <c r="X72" s="4"/>
      <c r="Y72" s="135">
        <v>6276742.7199999997</v>
      </c>
      <c r="Z72" s="135">
        <v>6339531.4900000002</v>
      </c>
      <c r="AA72" s="135">
        <v>6410077.6799999997</v>
      </c>
      <c r="AB72" s="135">
        <v>5926544.2999999998</v>
      </c>
      <c r="AC72" s="135">
        <v>5966266.1600000001</v>
      </c>
      <c r="AD72" s="135">
        <v>6032467.5300000003</v>
      </c>
      <c r="AE72" s="135">
        <v>6069227.8799999999</v>
      </c>
      <c r="AF72" s="135">
        <v>6135999.04</v>
      </c>
      <c r="AG72" s="135">
        <v>6195281.0800000001</v>
      </c>
      <c r="AH72" s="135">
        <v>5333696.25</v>
      </c>
      <c r="AI72" s="135">
        <v>4900552.63</v>
      </c>
      <c r="AJ72" s="135">
        <v>3728537.6000000001</v>
      </c>
      <c r="AK72" s="135">
        <v>3282173.83</v>
      </c>
      <c r="AL72" s="135">
        <v>2086175.97</v>
      </c>
      <c r="AM72" s="135">
        <v>3259129.83</v>
      </c>
      <c r="AN72" s="135">
        <v>2393019.75</v>
      </c>
      <c r="AO72" s="135">
        <v>2506226.6453360599</v>
      </c>
      <c r="AP72" s="136">
        <v>2490445.4548312002</v>
      </c>
    </row>
    <row r="73" spans="1:42">
      <c r="A73" s="1" t="s">
        <v>14</v>
      </c>
      <c r="B73" s="6" t="s">
        <v>1413</v>
      </c>
      <c r="C73" s="6" t="s">
        <v>1413</v>
      </c>
      <c r="D73" s="6" t="s">
        <v>1420</v>
      </c>
      <c r="E73" s="3" t="s">
        <v>1495</v>
      </c>
      <c r="F73" s="3" t="s">
        <v>1669</v>
      </c>
      <c r="G73" s="6" t="s">
        <v>1552</v>
      </c>
      <c r="H73" s="7">
        <v>15706583</v>
      </c>
      <c r="I73" s="2"/>
      <c r="J73" s="2" t="s">
        <v>1652</v>
      </c>
      <c r="K73" s="8"/>
      <c r="L73" s="8" t="s">
        <v>1637</v>
      </c>
      <c r="M73" s="3" t="s">
        <v>1639</v>
      </c>
      <c r="N73" s="3"/>
      <c r="O73" s="5"/>
      <c r="P73" s="3"/>
      <c r="Q73" s="3" t="s">
        <v>756</v>
      </c>
      <c r="R73" s="3"/>
      <c r="S73" s="3"/>
      <c r="T73" s="9"/>
      <c r="U73" s="3"/>
      <c r="V73" s="3"/>
      <c r="W73" s="3"/>
      <c r="X73" s="4"/>
      <c r="Y73" s="135">
        <v>3113995.79</v>
      </c>
      <c r="Z73" s="135">
        <v>3248362.34</v>
      </c>
      <c r="AA73" s="135">
        <v>3234267.46</v>
      </c>
      <c r="AB73" s="135">
        <v>3832670.21</v>
      </c>
      <c r="AC73" s="135">
        <v>3820504.86</v>
      </c>
      <c r="AD73" s="135">
        <v>3840846.39</v>
      </c>
      <c r="AE73" s="135">
        <v>3802072.03</v>
      </c>
      <c r="AF73" s="135">
        <v>4492285.75</v>
      </c>
      <c r="AG73" s="135">
        <v>4487345.9400000004</v>
      </c>
      <c r="AH73" s="135">
        <v>4689896.41</v>
      </c>
      <c r="AI73" s="135">
        <v>5087292.8499999996</v>
      </c>
      <c r="AJ73" s="135">
        <v>5027973.72</v>
      </c>
      <c r="AK73" s="135">
        <v>5017441.0599999996</v>
      </c>
      <c r="AL73" s="135">
        <v>12762668.43</v>
      </c>
      <c r="AM73" s="135">
        <v>4978582.22</v>
      </c>
      <c r="AN73" s="135">
        <v>5013202.0199999996</v>
      </c>
      <c r="AO73" s="135">
        <v>4989363.4362132</v>
      </c>
      <c r="AP73" s="136">
        <v>4989880.6967149395</v>
      </c>
    </row>
    <row r="74" spans="1:42">
      <c r="A74" s="1" t="s">
        <v>14</v>
      </c>
      <c r="B74" s="6" t="s">
        <v>1420</v>
      </c>
      <c r="C74" s="6" t="s">
        <v>1413</v>
      </c>
      <c r="D74" s="6" t="s">
        <v>1420</v>
      </c>
      <c r="E74" s="3" t="s">
        <v>1495</v>
      </c>
      <c r="F74" s="3" t="s">
        <v>1669</v>
      </c>
      <c r="G74" s="6" t="s">
        <v>1566</v>
      </c>
      <c r="H74" s="7">
        <v>7777265</v>
      </c>
      <c r="I74" s="2"/>
      <c r="J74" s="2" t="s">
        <v>1652</v>
      </c>
      <c r="K74" s="8"/>
      <c r="L74" s="8" t="s">
        <v>1636</v>
      </c>
      <c r="M74" s="3" t="s">
        <v>1639</v>
      </c>
      <c r="N74" s="3"/>
      <c r="O74" s="5"/>
      <c r="P74" s="3"/>
      <c r="Q74" s="3" t="s">
        <v>1397</v>
      </c>
      <c r="R74" s="3"/>
      <c r="S74" s="3"/>
      <c r="T74" s="9"/>
      <c r="U74" s="3"/>
      <c r="V74" s="3"/>
      <c r="W74" s="3"/>
      <c r="X74" s="4"/>
      <c r="Y74" s="135">
        <v>74783.87</v>
      </c>
      <c r="Z74" s="135">
        <v>73731.509999999995</v>
      </c>
      <c r="AA74" s="135">
        <v>81549.81</v>
      </c>
      <c r="AB74" s="135">
        <v>87611.22</v>
      </c>
      <c r="AC74" s="135">
        <v>99224.26</v>
      </c>
      <c r="AD74" s="135">
        <v>91968.5</v>
      </c>
      <c r="AE74" s="135">
        <v>89210.86</v>
      </c>
      <c r="AF74" s="135">
        <v>101385.15</v>
      </c>
      <c r="AG74" s="135">
        <v>106835.96</v>
      </c>
      <c r="AH74" s="135">
        <v>146657.87</v>
      </c>
      <c r="AI74" s="135">
        <v>154914.57999999999</v>
      </c>
      <c r="AJ74" s="135">
        <v>164746.91</v>
      </c>
      <c r="AK74" s="135">
        <v>183479.76</v>
      </c>
      <c r="AL74" s="135">
        <v>369.86</v>
      </c>
      <c r="AM74" s="135">
        <v>150856.13</v>
      </c>
      <c r="AN74" s="135">
        <v>170506.05</v>
      </c>
      <c r="AO74" s="135">
        <v>183713.81709890001</v>
      </c>
      <c r="AP74" s="136">
        <v>289781.76000000001</v>
      </c>
    </row>
    <row r="75" spans="1:42">
      <c r="A75" s="1" t="s">
        <v>14</v>
      </c>
      <c r="B75" s="6" t="s">
        <v>1518</v>
      </c>
      <c r="C75" s="6" t="s">
        <v>1518</v>
      </c>
      <c r="D75" s="6" t="s">
        <v>1518</v>
      </c>
      <c r="E75" s="3" t="s">
        <v>1495</v>
      </c>
      <c r="F75" s="3" t="s">
        <v>1654</v>
      </c>
      <c r="G75" s="6" t="s">
        <v>1622</v>
      </c>
      <c r="H75" s="7">
        <v>19251578</v>
      </c>
      <c r="I75" s="2"/>
      <c r="J75" s="2" t="s">
        <v>1652</v>
      </c>
      <c r="K75" s="8"/>
      <c r="L75" s="8" t="s">
        <v>1636</v>
      </c>
      <c r="M75" s="3" t="s">
        <v>1644</v>
      </c>
      <c r="N75" s="3"/>
      <c r="O75" s="5"/>
      <c r="P75" s="3"/>
      <c r="Q75" s="3" t="s">
        <v>1397</v>
      </c>
      <c r="R75" s="3"/>
      <c r="S75" s="3"/>
      <c r="T75" s="9"/>
      <c r="U75" s="3"/>
      <c r="V75" s="3"/>
      <c r="W75" s="3"/>
      <c r="X75" s="4"/>
      <c r="Y75" s="135">
        <v>0</v>
      </c>
      <c r="Z75" s="135">
        <v>0</v>
      </c>
      <c r="AA75" s="135">
        <v>0</v>
      </c>
      <c r="AB75" s="135">
        <v>0</v>
      </c>
      <c r="AC75" s="135">
        <v>0</v>
      </c>
      <c r="AD75" s="135">
        <v>0</v>
      </c>
      <c r="AE75" s="135">
        <v>0</v>
      </c>
      <c r="AF75" s="135">
        <v>0</v>
      </c>
      <c r="AG75" s="135">
        <v>0</v>
      </c>
      <c r="AH75" s="135">
        <v>0</v>
      </c>
      <c r="AI75" s="135">
        <v>0</v>
      </c>
      <c r="AJ75" s="135">
        <v>0</v>
      </c>
      <c r="AK75" s="135">
        <v>0</v>
      </c>
      <c r="AL75" s="135">
        <v>276112.90999999997</v>
      </c>
      <c r="AM75" s="135">
        <v>2390000</v>
      </c>
      <c r="AN75" s="135">
        <v>1629018.59</v>
      </c>
      <c r="AO75" s="135">
        <v>1979450.1688939999</v>
      </c>
      <c r="AP75" s="136">
        <v>2003313.7341839999</v>
      </c>
    </row>
    <row r="76" spans="1:42">
      <c r="A76" s="1" t="s">
        <v>14</v>
      </c>
      <c r="B76" s="6" t="s">
        <v>1419</v>
      </c>
      <c r="C76" s="6" t="s">
        <v>1419</v>
      </c>
      <c r="D76" s="6" t="s">
        <v>1467</v>
      </c>
      <c r="E76" s="3" t="s">
        <v>1495</v>
      </c>
      <c r="F76" s="3" t="s">
        <v>1655</v>
      </c>
      <c r="G76" s="6" t="s">
        <v>1561</v>
      </c>
      <c r="H76" s="7">
        <v>7983962</v>
      </c>
      <c r="I76" s="2"/>
      <c r="J76" s="2" t="s">
        <v>1652</v>
      </c>
      <c r="K76" s="8"/>
      <c r="L76" s="8" t="s">
        <v>1636</v>
      </c>
      <c r="M76" s="3" t="s">
        <v>1643</v>
      </c>
      <c r="N76" s="3"/>
      <c r="O76" s="5"/>
      <c r="P76" s="3"/>
      <c r="Q76" s="3" t="s">
        <v>756</v>
      </c>
      <c r="R76" s="3"/>
      <c r="S76" s="3"/>
      <c r="T76" s="9"/>
      <c r="U76" s="3"/>
      <c r="V76" s="3"/>
      <c r="W76" s="3"/>
      <c r="X76" s="4"/>
      <c r="Y76" s="135">
        <v>19342113.16</v>
      </c>
      <c r="Z76" s="135">
        <v>24969936.530000001</v>
      </c>
      <c r="AA76" s="135">
        <v>27207788.190000001</v>
      </c>
      <c r="AB76" s="135">
        <v>12609936.189999999</v>
      </c>
      <c r="AC76" s="135">
        <v>6919180.1900000004</v>
      </c>
      <c r="AD76" s="135">
        <v>9364048.8599999994</v>
      </c>
      <c r="AE76" s="135">
        <v>9844325.8200000003</v>
      </c>
      <c r="AF76" s="135">
        <v>1200000</v>
      </c>
      <c r="AG76" s="135">
        <v>0</v>
      </c>
      <c r="AH76" s="135">
        <v>0</v>
      </c>
      <c r="AI76" s="135">
        <v>2414781.2599999998</v>
      </c>
      <c r="AJ76" s="135">
        <v>9530300.6600000001</v>
      </c>
      <c r="AK76" s="135">
        <v>7800000</v>
      </c>
      <c r="AL76" s="135">
        <v>3300485.59</v>
      </c>
      <c r="AM76" s="135">
        <v>5523153.2599999998</v>
      </c>
      <c r="AN76" s="135">
        <v>8563067.0299999993</v>
      </c>
      <c r="AO76" s="135">
        <v>15874810.50362788</v>
      </c>
      <c r="AP76" s="136">
        <v>9868753.5957900006</v>
      </c>
    </row>
    <row r="77" spans="1:42">
      <c r="A77" s="1" t="s">
        <v>14</v>
      </c>
      <c r="B77" s="6" t="s">
        <v>1516</v>
      </c>
      <c r="C77" s="6" t="s">
        <v>1516</v>
      </c>
      <c r="D77" s="6" t="s">
        <v>1516</v>
      </c>
      <c r="E77" s="3" t="s">
        <v>1495</v>
      </c>
      <c r="F77" s="3" t="s">
        <v>1654</v>
      </c>
      <c r="G77" s="6" t="s">
        <v>1620</v>
      </c>
      <c r="H77" s="7">
        <v>3686769</v>
      </c>
      <c r="I77" s="2"/>
      <c r="J77" s="2" t="s">
        <v>1652</v>
      </c>
      <c r="K77" s="8"/>
      <c r="L77" s="8" t="s">
        <v>1636</v>
      </c>
      <c r="M77" s="3" t="s">
        <v>1644</v>
      </c>
      <c r="N77" s="3"/>
      <c r="O77" s="5"/>
      <c r="P77" s="3"/>
      <c r="Q77" s="3" t="s">
        <v>1397</v>
      </c>
      <c r="R77" s="3"/>
      <c r="S77" s="3"/>
      <c r="T77" s="9"/>
      <c r="U77" s="3"/>
      <c r="V77" s="3"/>
      <c r="W77" s="3"/>
      <c r="X77" s="4"/>
      <c r="Y77" s="135">
        <v>16.89</v>
      </c>
      <c r="Z77" s="135">
        <v>16.89</v>
      </c>
      <c r="AA77" s="135">
        <v>16.89</v>
      </c>
      <c r="AB77" s="135">
        <v>16.89</v>
      </c>
      <c r="AC77" s="135">
        <v>16.89</v>
      </c>
      <c r="AD77" s="135">
        <v>16.89</v>
      </c>
      <c r="AE77" s="135">
        <v>16.89</v>
      </c>
      <c r="AF77" s="135">
        <v>16.89</v>
      </c>
      <c r="AG77" s="135">
        <v>16.89</v>
      </c>
      <c r="AH77" s="135">
        <v>16.89</v>
      </c>
      <c r="AI77" s="135">
        <v>16.89</v>
      </c>
      <c r="AJ77" s="135">
        <v>16.89</v>
      </c>
      <c r="AK77" s="135">
        <v>16.89</v>
      </c>
      <c r="AL77" s="135">
        <v>888958.98</v>
      </c>
      <c r="AM77" s="135">
        <v>500016.89</v>
      </c>
      <c r="AN77" s="135">
        <v>502148.1</v>
      </c>
      <c r="AO77" s="135">
        <v>502148.68754299998</v>
      </c>
      <c r="AP77" s="136">
        <v>507461.40681800002</v>
      </c>
    </row>
    <row r="78" spans="1:42">
      <c r="A78" s="1" t="s">
        <v>14</v>
      </c>
      <c r="B78" s="6" t="s">
        <v>1421</v>
      </c>
      <c r="C78" s="6" t="s">
        <v>1421</v>
      </c>
      <c r="D78" s="6" t="s">
        <v>1421</v>
      </c>
      <c r="E78" s="3" t="s">
        <v>1495</v>
      </c>
      <c r="F78" s="3" t="s">
        <v>1654</v>
      </c>
      <c r="G78" s="6" t="s">
        <v>1567</v>
      </c>
      <c r="H78" s="7">
        <v>339991</v>
      </c>
      <c r="I78" s="2"/>
      <c r="J78" s="2" t="s">
        <v>1652</v>
      </c>
      <c r="K78" s="8"/>
      <c r="L78" s="8" t="s">
        <v>1636</v>
      </c>
      <c r="M78" s="3"/>
      <c r="N78" s="3"/>
      <c r="O78" s="5"/>
      <c r="P78" s="3"/>
      <c r="Q78" s="3" t="s">
        <v>1397</v>
      </c>
      <c r="R78" s="3"/>
      <c r="S78" s="3"/>
      <c r="T78" s="9"/>
      <c r="U78" s="3"/>
      <c r="V78" s="3"/>
      <c r="W78" s="3"/>
      <c r="X78" s="4"/>
      <c r="Y78" s="135">
        <v>1827423.75</v>
      </c>
      <c r="Z78" s="135">
        <v>1816950.75</v>
      </c>
      <c r="AA78" s="135">
        <v>2004828.54</v>
      </c>
      <c r="AB78" s="135">
        <v>2065417.33</v>
      </c>
      <c r="AC78" s="135">
        <v>2104258.9900000002</v>
      </c>
      <c r="AD78" s="135">
        <v>2072942.92</v>
      </c>
      <c r="AE78" s="135">
        <v>1965551.35</v>
      </c>
      <c r="AF78" s="135">
        <v>2002723.26</v>
      </c>
      <c r="AG78" s="135">
        <v>2048938.09</v>
      </c>
      <c r="AH78" s="135">
        <v>1944272.23</v>
      </c>
      <c r="AI78" s="135">
        <v>1960569.32</v>
      </c>
      <c r="AJ78" s="135">
        <v>1945395.23</v>
      </c>
      <c r="AK78" s="135">
        <v>2079323.67</v>
      </c>
      <c r="AL78" s="135">
        <v>185284.7</v>
      </c>
      <c r="AM78" s="135">
        <v>2237262.59</v>
      </c>
      <c r="AN78" s="135">
        <v>2292977.4500000002</v>
      </c>
      <c r="AO78" s="135">
        <v>2401770.1791579998</v>
      </c>
      <c r="AP78" s="136">
        <v>2437904.1562100602</v>
      </c>
    </row>
    <row r="79" spans="1:42">
      <c r="A79" s="1" t="s">
        <v>14</v>
      </c>
      <c r="B79" s="6" t="s">
        <v>1422</v>
      </c>
      <c r="C79" s="6" t="s">
        <v>1663</v>
      </c>
      <c r="D79" s="6" t="s">
        <v>1422</v>
      </c>
      <c r="E79" s="3" t="s">
        <v>1495</v>
      </c>
      <c r="F79" s="3" t="s">
        <v>1654</v>
      </c>
      <c r="G79" s="6" t="s">
        <v>1568</v>
      </c>
      <c r="H79" s="7">
        <v>11466830</v>
      </c>
      <c r="I79" s="2"/>
      <c r="J79" s="2" t="s">
        <v>1652</v>
      </c>
      <c r="K79" s="8"/>
      <c r="L79" s="8" t="s">
        <v>1636</v>
      </c>
      <c r="M79" s="3" t="s">
        <v>1639</v>
      </c>
      <c r="N79" s="3"/>
      <c r="O79" s="5"/>
      <c r="P79" s="3"/>
      <c r="Q79" s="3" t="s">
        <v>756</v>
      </c>
      <c r="R79" s="3"/>
      <c r="S79" s="3"/>
      <c r="T79" s="9"/>
      <c r="U79" s="3"/>
      <c r="V79" s="3"/>
      <c r="W79" s="3"/>
      <c r="X79" s="4"/>
      <c r="Y79" s="135">
        <v>4559472.09</v>
      </c>
      <c r="Z79" s="135">
        <v>4639434.57</v>
      </c>
      <c r="AA79" s="135">
        <v>4734741.43</v>
      </c>
      <c r="AB79" s="135">
        <v>4802746.75</v>
      </c>
      <c r="AC79" s="135">
        <v>4767652.05</v>
      </c>
      <c r="AD79" s="135">
        <v>4792920.97</v>
      </c>
      <c r="AE79" s="135">
        <v>4763872.3899999997</v>
      </c>
      <c r="AF79" s="135">
        <v>4779999.37</v>
      </c>
      <c r="AG79" s="135">
        <v>4830909.16</v>
      </c>
      <c r="AH79" s="135">
        <v>4838258.8600000003</v>
      </c>
      <c r="AI79" s="135">
        <v>4843377.29</v>
      </c>
      <c r="AJ79" s="135">
        <v>4904594.22</v>
      </c>
      <c r="AK79" s="135">
        <v>4950882.37</v>
      </c>
      <c r="AL79" s="135">
        <v>2139606.75</v>
      </c>
      <c r="AM79" s="135">
        <v>4930228.5599999996</v>
      </c>
      <c r="AN79" s="135">
        <v>4935704.7699999996</v>
      </c>
      <c r="AO79" s="135">
        <v>4890476.0270175599</v>
      </c>
      <c r="AP79" s="136">
        <v>4824433.0084402403</v>
      </c>
    </row>
    <row r="80" spans="1:42">
      <c r="A80" s="1" t="s">
        <v>14</v>
      </c>
      <c r="B80" s="6" t="s">
        <v>1423</v>
      </c>
      <c r="C80" s="6" t="s">
        <v>1423</v>
      </c>
      <c r="D80" s="6" t="s">
        <v>1473</v>
      </c>
      <c r="E80" s="3" t="s">
        <v>1495</v>
      </c>
      <c r="F80" s="3" t="s">
        <v>1654</v>
      </c>
      <c r="G80" s="6" t="s">
        <v>1570</v>
      </c>
      <c r="H80" s="7">
        <v>6696173</v>
      </c>
      <c r="I80" s="2"/>
      <c r="J80" s="2" t="s">
        <v>1652</v>
      </c>
      <c r="K80" s="8"/>
      <c r="L80" s="8" t="s">
        <v>1636</v>
      </c>
      <c r="M80" s="3" t="s">
        <v>1639</v>
      </c>
      <c r="N80" s="3"/>
      <c r="O80" s="5"/>
      <c r="P80" s="3"/>
      <c r="Q80" s="3" t="s">
        <v>1397</v>
      </c>
      <c r="R80" s="3"/>
      <c r="S80" s="3"/>
      <c r="T80" s="9"/>
      <c r="U80" s="3"/>
      <c r="V80" s="3"/>
      <c r="W80" s="3"/>
      <c r="X80" s="4"/>
      <c r="Y80" s="135">
        <v>1998006.74</v>
      </c>
      <c r="Z80" s="135">
        <v>2009862.44</v>
      </c>
      <c r="AA80" s="135">
        <v>2083141.34</v>
      </c>
      <c r="AB80" s="135">
        <v>2234298.54</v>
      </c>
      <c r="AC80" s="135">
        <v>2263326.63</v>
      </c>
      <c r="AD80" s="135">
        <v>2333037.06</v>
      </c>
      <c r="AE80" s="135">
        <v>2332614.09</v>
      </c>
      <c r="AF80" s="135">
        <v>2367748.5499999998</v>
      </c>
      <c r="AG80" s="135">
        <v>2390376.04</v>
      </c>
      <c r="AH80" s="135">
        <v>2454502.5699999998</v>
      </c>
      <c r="AI80" s="135">
        <v>2491364.69</v>
      </c>
      <c r="AJ80" s="135">
        <v>2530541.63</v>
      </c>
      <c r="AK80" s="135">
        <v>2576606.56</v>
      </c>
      <c r="AL80" s="135">
        <v>4967838.82</v>
      </c>
      <c r="AM80" s="135">
        <v>2936016.51</v>
      </c>
      <c r="AN80" s="135">
        <v>3020783.5</v>
      </c>
      <c r="AO80" s="135">
        <v>3054097.2905880399</v>
      </c>
      <c r="AP80" s="136">
        <v>3066279.6612812001</v>
      </c>
    </row>
    <row r="81" spans="1:42">
      <c r="A81" s="1" t="s">
        <v>14</v>
      </c>
      <c r="B81" s="6" t="s">
        <v>1413</v>
      </c>
      <c r="C81" s="6" t="s">
        <v>1413</v>
      </c>
      <c r="D81" s="6" t="s">
        <v>1424</v>
      </c>
      <c r="E81" s="3" t="s">
        <v>1495</v>
      </c>
      <c r="F81" s="3" t="s">
        <v>1669</v>
      </c>
      <c r="G81" s="6" t="s">
        <v>1553</v>
      </c>
      <c r="H81" s="7">
        <v>11948279</v>
      </c>
      <c r="I81" s="2"/>
      <c r="J81" s="2" t="s">
        <v>1652</v>
      </c>
      <c r="K81" s="8"/>
      <c r="L81" s="8" t="s">
        <v>1637</v>
      </c>
      <c r="M81" s="3" t="s">
        <v>1640</v>
      </c>
      <c r="N81" s="3"/>
      <c r="O81" s="5"/>
      <c r="P81" s="3"/>
      <c r="Q81" s="3" t="s">
        <v>756</v>
      </c>
      <c r="R81" s="3"/>
      <c r="S81" s="3"/>
      <c r="T81" s="9"/>
      <c r="U81" s="3"/>
      <c r="V81" s="3"/>
      <c r="W81" s="3"/>
      <c r="X81" s="4"/>
      <c r="Y81" s="135">
        <v>3007238.49</v>
      </c>
      <c r="Z81" s="135">
        <v>2939341.97</v>
      </c>
      <c r="AA81" s="135">
        <v>3325630.68</v>
      </c>
      <c r="AB81" s="135">
        <v>3823807.2</v>
      </c>
      <c r="AC81" s="135">
        <v>3962508.36</v>
      </c>
      <c r="AD81" s="135">
        <v>3934207.23</v>
      </c>
      <c r="AE81" s="135">
        <v>3906001.18</v>
      </c>
      <c r="AF81" s="135">
        <v>3958889.51</v>
      </c>
      <c r="AG81" s="135">
        <v>3940841.32</v>
      </c>
      <c r="AH81" s="135">
        <v>3983978.98</v>
      </c>
      <c r="AI81" s="135">
        <v>3952823.01</v>
      </c>
      <c r="AJ81" s="135">
        <v>3903143.13</v>
      </c>
      <c r="AK81" s="135">
        <v>3876922.15</v>
      </c>
      <c r="AL81" s="135">
        <v>5014417.34</v>
      </c>
      <c r="AM81" s="135">
        <v>3846042.81</v>
      </c>
      <c r="AN81" s="135">
        <v>3853616.74</v>
      </c>
      <c r="AO81" s="135">
        <v>4518251.6097782003</v>
      </c>
      <c r="AP81" s="136">
        <v>4510816.9296089401</v>
      </c>
    </row>
    <row r="82" spans="1:42">
      <c r="A82" s="1" t="s">
        <v>14</v>
      </c>
      <c r="B82" s="6" t="s">
        <v>1424</v>
      </c>
      <c r="C82" s="6" t="s">
        <v>1413</v>
      </c>
      <c r="D82" s="6" t="s">
        <v>1424</v>
      </c>
      <c r="E82" s="3" t="s">
        <v>1495</v>
      </c>
      <c r="F82" s="3" t="s">
        <v>1669</v>
      </c>
      <c r="G82" s="6" t="s">
        <v>1571</v>
      </c>
      <c r="H82" s="7">
        <v>17624003</v>
      </c>
      <c r="I82" s="2"/>
      <c r="J82" s="2" t="s">
        <v>1652</v>
      </c>
      <c r="K82" s="8"/>
      <c r="L82" s="8" t="s">
        <v>1636</v>
      </c>
      <c r="M82" s="3" t="s">
        <v>1640</v>
      </c>
      <c r="N82" s="3"/>
      <c r="O82" s="5"/>
      <c r="P82" s="3"/>
      <c r="Q82" s="3" t="s">
        <v>1397</v>
      </c>
      <c r="R82" s="3"/>
      <c r="S82" s="3"/>
      <c r="T82" s="9"/>
      <c r="U82" s="3"/>
      <c r="V82" s="3"/>
      <c r="W82" s="3"/>
      <c r="X82" s="4"/>
      <c r="Y82" s="135">
        <v>0</v>
      </c>
      <c r="Z82" s="135">
        <v>0</v>
      </c>
      <c r="AA82" s="135">
        <v>0</v>
      </c>
      <c r="AB82" s="135">
        <v>10079.540000000001</v>
      </c>
      <c r="AC82" s="135">
        <v>18306.259999999998</v>
      </c>
      <c r="AD82" s="135">
        <v>26628.82</v>
      </c>
      <c r="AE82" s="135">
        <v>36082.22</v>
      </c>
      <c r="AF82" s="135">
        <v>46671.37</v>
      </c>
      <c r="AG82" s="135">
        <v>58492.22</v>
      </c>
      <c r="AH82" s="135">
        <v>105493.65</v>
      </c>
      <c r="AI82" s="135">
        <v>112498.46</v>
      </c>
      <c r="AJ82" s="135">
        <v>114801.64</v>
      </c>
      <c r="AK82" s="135">
        <v>126880.95</v>
      </c>
      <c r="AL82" s="135">
        <v>2694446.9</v>
      </c>
      <c r="AM82" s="135">
        <v>148012.59</v>
      </c>
      <c r="AN82" s="135">
        <v>149230.79</v>
      </c>
      <c r="AO82" s="135">
        <v>358171.48793800001</v>
      </c>
      <c r="AP82" s="136">
        <v>369731.02019000001</v>
      </c>
    </row>
    <row r="83" spans="1:42">
      <c r="A83" s="1" t="s">
        <v>14</v>
      </c>
      <c r="B83" s="6" t="s">
        <v>1425</v>
      </c>
      <c r="C83" s="6" t="s">
        <v>1425</v>
      </c>
      <c r="D83" s="6" t="s">
        <v>1425</v>
      </c>
      <c r="E83" s="3" t="s">
        <v>1495</v>
      </c>
      <c r="F83" s="3" t="s">
        <v>1654</v>
      </c>
      <c r="G83" s="6" t="s">
        <v>1572</v>
      </c>
      <c r="H83" s="7">
        <v>2497441</v>
      </c>
      <c r="I83" s="2"/>
      <c r="J83" s="2" t="s">
        <v>1652</v>
      </c>
      <c r="K83" s="8"/>
      <c r="L83" s="8" t="s">
        <v>1637</v>
      </c>
      <c r="M83" s="3" t="s">
        <v>1641</v>
      </c>
      <c r="N83" s="3"/>
      <c r="O83" s="5"/>
      <c r="P83" s="3"/>
      <c r="Q83" s="3" t="s">
        <v>756</v>
      </c>
      <c r="R83" s="3"/>
      <c r="S83" s="3"/>
      <c r="T83" s="9"/>
      <c r="U83" s="3"/>
      <c r="V83" s="3"/>
      <c r="W83" s="3"/>
      <c r="X83" s="4"/>
      <c r="Y83" s="135">
        <v>1907464.91</v>
      </c>
      <c r="Z83" s="135">
        <v>1909606.85</v>
      </c>
      <c r="AA83" s="135">
        <v>1767880.41</v>
      </c>
      <c r="AB83" s="135">
        <v>1734727.78</v>
      </c>
      <c r="AC83" s="135">
        <v>1248933.43</v>
      </c>
      <c r="AD83" s="135">
        <v>1565700.08</v>
      </c>
      <c r="AE83" s="135">
        <v>1668568.37</v>
      </c>
      <c r="AF83" s="135">
        <v>2007135.09</v>
      </c>
      <c r="AG83" s="135">
        <v>1540363.7</v>
      </c>
      <c r="AH83" s="135">
        <v>1469564.55</v>
      </c>
      <c r="AI83" s="135">
        <v>1483373.17</v>
      </c>
      <c r="AJ83" s="135">
        <v>1498345.73</v>
      </c>
      <c r="AK83" s="135">
        <v>1523815.83</v>
      </c>
      <c r="AL83" s="135">
        <v>137711.39000000001</v>
      </c>
      <c r="AM83" s="135">
        <v>1338958.69</v>
      </c>
      <c r="AN83" s="135">
        <v>1347187.16</v>
      </c>
      <c r="AO83" s="135">
        <v>1137388.6576626</v>
      </c>
      <c r="AP83" s="136">
        <v>1075205.13799025</v>
      </c>
    </row>
    <row r="84" spans="1:42">
      <c r="A84" s="1" t="s">
        <v>14</v>
      </c>
      <c r="B84" s="6" t="s">
        <v>1426</v>
      </c>
      <c r="C84" s="6" t="s">
        <v>1668</v>
      </c>
      <c r="D84" s="6" t="s">
        <v>1426</v>
      </c>
      <c r="E84" s="3" t="s">
        <v>1495</v>
      </c>
      <c r="F84" s="3" t="s">
        <v>1654</v>
      </c>
      <c r="G84" s="6" t="s">
        <v>1575</v>
      </c>
      <c r="H84" s="7">
        <v>3133112</v>
      </c>
      <c r="I84" s="2"/>
      <c r="J84" s="2" t="s">
        <v>1652</v>
      </c>
      <c r="K84" s="8"/>
      <c r="L84" s="8" t="s">
        <v>1636</v>
      </c>
      <c r="M84" s="3" t="s">
        <v>1639</v>
      </c>
      <c r="N84" s="3"/>
      <c r="O84" s="5"/>
      <c r="P84" s="3"/>
      <c r="Q84" s="3" t="s">
        <v>756</v>
      </c>
      <c r="R84" s="3"/>
      <c r="S84" s="3"/>
      <c r="T84" s="9"/>
      <c r="U84" s="3"/>
      <c r="V84" s="3"/>
      <c r="W84" s="3"/>
      <c r="X84" s="4"/>
      <c r="Y84" s="135">
        <v>1118603.27</v>
      </c>
      <c r="Z84" s="135">
        <v>1136137.33</v>
      </c>
      <c r="AA84" s="135">
        <v>1149432.05</v>
      </c>
      <c r="AB84" s="135">
        <v>1226341.68</v>
      </c>
      <c r="AC84" s="135">
        <v>1245521.28</v>
      </c>
      <c r="AD84" s="135">
        <v>1263737.3600000001</v>
      </c>
      <c r="AE84" s="135">
        <v>1283797.6599999999</v>
      </c>
      <c r="AF84" s="135">
        <v>1344571.74</v>
      </c>
      <c r="AG84" s="135">
        <v>1378881.4</v>
      </c>
      <c r="AH84" s="135">
        <v>1418711.79</v>
      </c>
      <c r="AI84" s="135">
        <v>1448074.52</v>
      </c>
      <c r="AJ84" s="135">
        <v>1499095.69</v>
      </c>
      <c r="AK84" s="135">
        <v>1562310.38</v>
      </c>
      <c r="AL84" s="135">
        <v>1532970.56</v>
      </c>
      <c r="AM84" s="135">
        <v>1926562.22</v>
      </c>
      <c r="AN84" s="135">
        <v>1952356.39</v>
      </c>
      <c r="AO84" s="135">
        <v>1986392.6858847528</v>
      </c>
      <c r="AP84" s="136">
        <v>1999806.3323592888</v>
      </c>
    </row>
    <row r="85" spans="1:42">
      <c r="A85" s="1" t="s">
        <v>14</v>
      </c>
      <c r="B85" s="6" t="s">
        <v>1427</v>
      </c>
      <c r="C85" s="6" t="s">
        <v>1660</v>
      </c>
      <c r="D85" s="6" t="s">
        <v>1474</v>
      </c>
      <c r="E85" s="3" t="s">
        <v>1495</v>
      </c>
      <c r="F85" s="3" t="s">
        <v>1654</v>
      </c>
      <c r="G85" s="6" t="s">
        <v>1576</v>
      </c>
      <c r="H85" s="7">
        <v>7758450</v>
      </c>
      <c r="I85" s="2"/>
      <c r="J85" s="2" t="s">
        <v>1652</v>
      </c>
      <c r="K85" s="8"/>
      <c r="L85" s="8" t="s">
        <v>1636</v>
      </c>
      <c r="M85" s="3" t="s">
        <v>1640</v>
      </c>
      <c r="N85" s="3"/>
      <c r="O85" s="5"/>
      <c r="P85" s="3"/>
      <c r="Q85" s="3" t="s">
        <v>756</v>
      </c>
      <c r="R85" s="3"/>
      <c r="S85" s="3"/>
      <c r="T85" s="9"/>
      <c r="U85" s="3"/>
      <c r="V85" s="3"/>
      <c r="W85" s="3"/>
      <c r="X85" s="4"/>
      <c r="Y85" s="135">
        <v>3037862.46</v>
      </c>
      <c r="Z85" s="135">
        <v>3082808.99</v>
      </c>
      <c r="AA85" s="135">
        <v>3130494.56</v>
      </c>
      <c r="AB85" s="135">
        <v>3107192.27</v>
      </c>
      <c r="AC85" s="135">
        <v>3146425.57</v>
      </c>
      <c r="AD85" s="135">
        <v>3167756.1</v>
      </c>
      <c r="AE85" s="135">
        <v>3187051.2</v>
      </c>
      <c r="AF85" s="135">
        <v>3229190.43</v>
      </c>
      <c r="AG85" s="135">
        <v>3255300.75</v>
      </c>
      <c r="AH85" s="135">
        <v>3267491.52</v>
      </c>
      <c r="AI85" s="135">
        <v>3309579.18</v>
      </c>
      <c r="AJ85" s="135">
        <v>3311157.74</v>
      </c>
      <c r="AK85" s="135">
        <v>2995111.69</v>
      </c>
      <c r="AL85" s="135">
        <v>1597851.29</v>
      </c>
      <c r="AM85" s="135">
        <v>2823091.28</v>
      </c>
      <c r="AN85" s="135">
        <v>2866487.47</v>
      </c>
      <c r="AO85" s="135">
        <v>2900751.7209999999</v>
      </c>
      <c r="AP85" s="136">
        <v>2911924.7280000001</v>
      </c>
    </row>
    <row r="86" spans="1:42">
      <c r="A86" s="1" t="s">
        <v>14</v>
      </c>
      <c r="B86" s="6" t="s">
        <v>1428</v>
      </c>
      <c r="C86" s="6" t="s">
        <v>1661</v>
      </c>
      <c r="D86" s="6" t="s">
        <v>1428</v>
      </c>
      <c r="E86" s="3" t="s">
        <v>1495</v>
      </c>
      <c r="F86" s="3" t="s">
        <v>1669</v>
      </c>
      <c r="G86" s="6" t="s">
        <v>1578</v>
      </c>
      <c r="H86" s="7">
        <v>3371553</v>
      </c>
      <c r="I86" s="2"/>
      <c r="J86" s="2" t="s">
        <v>1652</v>
      </c>
      <c r="K86" s="8"/>
      <c r="L86" s="8" t="s">
        <v>1637</v>
      </c>
      <c r="M86" s="3" t="s">
        <v>1640</v>
      </c>
      <c r="N86" s="3"/>
      <c r="O86" s="5"/>
      <c r="P86" s="3"/>
      <c r="Q86" s="3" t="s">
        <v>756</v>
      </c>
      <c r="R86" s="3"/>
      <c r="S86" s="3"/>
      <c r="T86" s="9"/>
      <c r="U86" s="3"/>
      <c r="V86" s="3"/>
      <c r="W86" s="3"/>
      <c r="X86" s="4"/>
      <c r="Y86" s="135">
        <v>1252379.1499999999</v>
      </c>
      <c r="Z86" s="135">
        <v>1365242.27</v>
      </c>
      <c r="AA86" s="135">
        <v>1524889.97</v>
      </c>
      <c r="AB86" s="135">
        <v>1804649.87</v>
      </c>
      <c r="AC86" s="135">
        <v>1842628.05</v>
      </c>
      <c r="AD86" s="135">
        <v>1962879.33</v>
      </c>
      <c r="AE86" s="135">
        <v>1907840.69</v>
      </c>
      <c r="AF86" s="135">
        <v>2180412.9</v>
      </c>
      <c r="AG86" s="135">
        <v>2283791.92</v>
      </c>
      <c r="AH86" s="135">
        <v>2335865.21</v>
      </c>
      <c r="AI86" s="135">
        <v>2474273.92</v>
      </c>
      <c r="AJ86" s="135">
        <v>2505769.54</v>
      </c>
      <c r="AK86" s="135">
        <v>4777319.74</v>
      </c>
      <c r="AL86" s="135">
        <v>3050437.52</v>
      </c>
      <c r="AM86" s="135">
        <v>6843841.9800000004</v>
      </c>
      <c r="AN86" s="135">
        <v>6917503.8499999996</v>
      </c>
      <c r="AO86" s="135">
        <v>6803520.8099999996</v>
      </c>
      <c r="AP86" s="136">
        <v>5012303.5199999996</v>
      </c>
    </row>
    <row r="87" spans="1:42">
      <c r="A87" s="1" t="s">
        <v>14</v>
      </c>
      <c r="B87" s="6" t="s">
        <v>1428</v>
      </c>
      <c r="C87" s="6" t="s">
        <v>1661</v>
      </c>
      <c r="D87" s="6" t="s">
        <v>1428</v>
      </c>
      <c r="E87" s="3" t="s">
        <v>1495</v>
      </c>
      <c r="F87" s="3" t="s">
        <v>1669</v>
      </c>
      <c r="G87" s="6" t="s">
        <v>1579</v>
      </c>
      <c r="H87" s="7">
        <v>4619413</v>
      </c>
      <c r="I87" s="2"/>
      <c r="J87" s="2" t="s">
        <v>1652</v>
      </c>
      <c r="K87" s="8"/>
      <c r="L87" s="8" t="s">
        <v>1636</v>
      </c>
      <c r="M87" s="3" t="s">
        <v>1640</v>
      </c>
      <c r="N87" s="3"/>
      <c r="O87" s="5"/>
      <c r="P87" s="3"/>
      <c r="Q87" s="3" t="s">
        <v>756</v>
      </c>
      <c r="R87" s="3"/>
      <c r="S87" s="3"/>
      <c r="T87" s="9"/>
      <c r="U87" s="3"/>
      <c r="V87" s="3"/>
      <c r="W87" s="3"/>
      <c r="X87" s="4"/>
      <c r="Y87" s="135">
        <v>0</v>
      </c>
      <c r="Z87" s="135">
        <v>0</v>
      </c>
      <c r="AA87" s="135">
        <v>0</v>
      </c>
      <c r="AB87" s="135">
        <v>0</v>
      </c>
      <c r="AC87" s="135">
        <v>0</v>
      </c>
      <c r="AD87" s="135">
        <v>0</v>
      </c>
      <c r="AE87" s="135">
        <v>0</v>
      </c>
      <c r="AF87" s="135">
        <v>0.23</v>
      </c>
      <c r="AG87" s="135">
        <v>0.23</v>
      </c>
      <c r="AH87" s="135">
        <v>1306573.08</v>
      </c>
      <c r="AI87" s="135">
        <v>3031106.38</v>
      </c>
      <c r="AJ87" s="135">
        <v>5062170.18</v>
      </c>
      <c r="AK87" s="135">
        <v>7126278.3300000001</v>
      </c>
      <c r="AL87" s="135">
        <v>6990463.0800000001</v>
      </c>
      <c r="AM87" s="135">
        <v>4620244.96</v>
      </c>
      <c r="AN87" s="135">
        <v>3453306.82</v>
      </c>
      <c r="AO87" s="135">
        <v>3185016.9794799299</v>
      </c>
      <c r="AP87" s="136">
        <v>5687781.0793105001</v>
      </c>
    </row>
    <row r="88" spans="1:42">
      <c r="A88" s="1" t="s">
        <v>14</v>
      </c>
      <c r="B88" s="6" t="s">
        <v>1429</v>
      </c>
      <c r="C88" s="6" t="s">
        <v>1429</v>
      </c>
      <c r="D88" s="6" t="s">
        <v>1479</v>
      </c>
      <c r="E88" s="3" t="s">
        <v>1496</v>
      </c>
      <c r="F88" s="3" t="s">
        <v>1654</v>
      </c>
      <c r="G88" s="6" t="s">
        <v>1583</v>
      </c>
      <c r="H88" s="7">
        <v>10800085</v>
      </c>
      <c r="I88" s="2"/>
      <c r="J88" s="2" t="s">
        <v>1652</v>
      </c>
      <c r="K88" s="8"/>
      <c r="L88" s="8" t="s">
        <v>1636</v>
      </c>
      <c r="M88" s="3" t="s">
        <v>15</v>
      </c>
      <c r="N88" s="3"/>
      <c r="O88" s="5"/>
      <c r="P88" s="3"/>
      <c r="Q88" s="3" t="s">
        <v>1397</v>
      </c>
      <c r="R88" s="3"/>
      <c r="S88" s="3"/>
      <c r="T88" s="9"/>
      <c r="U88" s="3"/>
      <c r="V88" s="3"/>
      <c r="W88" s="3"/>
      <c r="X88" s="4"/>
      <c r="Y88" s="135">
        <v>0</v>
      </c>
      <c r="Z88" s="135">
        <v>0</v>
      </c>
      <c r="AA88" s="135">
        <v>0</v>
      </c>
      <c r="AB88" s="135">
        <v>541.75</v>
      </c>
      <c r="AC88" s="135">
        <v>0</v>
      </c>
      <c r="AD88" s="135">
        <v>0</v>
      </c>
      <c r="AE88" s="135">
        <v>0</v>
      </c>
      <c r="AF88" s="135">
        <v>0</v>
      </c>
      <c r="AG88" s="135">
        <v>0</v>
      </c>
      <c r="AH88" s="135">
        <v>0</v>
      </c>
      <c r="AI88" s="135">
        <v>0</v>
      </c>
      <c r="AJ88" s="135">
        <v>0</v>
      </c>
      <c r="AK88" s="135">
        <v>0</v>
      </c>
      <c r="AL88" s="135">
        <v>4589702.42</v>
      </c>
      <c r="AM88" s="135">
        <v>0</v>
      </c>
      <c r="AN88" s="135">
        <v>0</v>
      </c>
      <c r="AO88" s="135">
        <v>0</v>
      </c>
      <c r="AP88" s="136">
        <v>0</v>
      </c>
    </row>
    <row r="89" spans="1:42">
      <c r="A89" s="1" t="s">
        <v>14</v>
      </c>
      <c r="B89" s="6" t="s">
        <v>1430</v>
      </c>
      <c r="C89" s="6" t="s">
        <v>1668</v>
      </c>
      <c r="D89" s="6" t="s">
        <v>1480</v>
      </c>
      <c r="E89" s="3" t="s">
        <v>1495</v>
      </c>
      <c r="F89" s="3" t="s">
        <v>1654</v>
      </c>
      <c r="G89" s="6" t="s">
        <v>1585</v>
      </c>
      <c r="H89" s="7">
        <v>3101560</v>
      </c>
      <c r="I89" s="2"/>
      <c r="J89" s="2" t="s">
        <v>1652</v>
      </c>
      <c r="K89" s="8"/>
      <c r="L89" s="8" t="s">
        <v>1636</v>
      </c>
      <c r="M89" s="3" t="s">
        <v>1639</v>
      </c>
      <c r="N89" s="3"/>
      <c r="O89" s="5"/>
      <c r="P89" s="3"/>
      <c r="Q89" s="3" t="s">
        <v>756</v>
      </c>
      <c r="R89" s="3"/>
      <c r="S89" s="3"/>
      <c r="T89" s="9"/>
      <c r="U89" s="3"/>
      <c r="V89" s="3"/>
      <c r="W89" s="3"/>
      <c r="X89" s="4"/>
      <c r="Y89" s="135">
        <v>394414.07</v>
      </c>
      <c r="Z89" s="135">
        <v>426505.04</v>
      </c>
      <c r="AA89" s="135">
        <v>419183.49</v>
      </c>
      <c r="AB89" s="135">
        <v>419188</v>
      </c>
      <c r="AC89" s="135">
        <v>428438.44</v>
      </c>
      <c r="AD89" s="135">
        <v>423238.12</v>
      </c>
      <c r="AE89" s="135">
        <v>428478.12</v>
      </c>
      <c r="AF89" s="135">
        <v>434764.59</v>
      </c>
      <c r="AG89" s="135">
        <v>444304.44</v>
      </c>
      <c r="AH89" s="135">
        <v>445294.08000000002</v>
      </c>
      <c r="AI89" s="135">
        <v>438345.3</v>
      </c>
      <c r="AJ89" s="135">
        <v>447317.77</v>
      </c>
      <c r="AK89" s="135">
        <v>449734.89</v>
      </c>
      <c r="AL89" s="135">
        <v>0</v>
      </c>
      <c r="AM89" s="135">
        <v>472437.06</v>
      </c>
      <c r="AN89" s="135">
        <v>501168.68</v>
      </c>
      <c r="AO89" s="135">
        <v>523152.15467895998</v>
      </c>
      <c r="AP89" s="136">
        <v>517619.08647896</v>
      </c>
    </row>
    <row r="90" spans="1:42">
      <c r="A90" s="1" t="s">
        <v>14</v>
      </c>
      <c r="B90" s="6" t="s">
        <v>1431</v>
      </c>
      <c r="C90" s="6" t="s">
        <v>1431</v>
      </c>
      <c r="D90" s="6" t="s">
        <v>1431</v>
      </c>
      <c r="E90" s="3" t="s">
        <v>1495</v>
      </c>
      <c r="F90" s="3" t="s">
        <v>1654</v>
      </c>
      <c r="G90" s="6" t="s">
        <v>1586</v>
      </c>
      <c r="H90" s="7">
        <v>18129345</v>
      </c>
      <c r="I90" s="2"/>
      <c r="J90" s="2" t="s">
        <v>1652</v>
      </c>
      <c r="K90" s="8"/>
      <c r="L90" s="8" t="s">
        <v>1636</v>
      </c>
      <c r="M90" s="3" t="s">
        <v>1640</v>
      </c>
      <c r="N90" s="3"/>
      <c r="O90" s="5"/>
      <c r="P90" s="3"/>
      <c r="Q90" s="3" t="s">
        <v>1397</v>
      </c>
      <c r="R90" s="3"/>
      <c r="S90" s="3"/>
      <c r="T90" s="9"/>
      <c r="U90" s="3"/>
      <c r="V90" s="3"/>
      <c r="W90" s="3"/>
      <c r="X90" s="4"/>
      <c r="Y90" s="135">
        <v>0</v>
      </c>
      <c r="Z90" s="135">
        <v>0</v>
      </c>
      <c r="AA90" s="135">
        <v>0</v>
      </c>
      <c r="AB90" s="135">
        <v>0</v>
      </c>
      <c r="AC90" s="135">
        <v>3954149.39</v>
      </c>
      <c r="AD90" s="135">
        <v>7202483.2300000004</v>
      </c>
      <c r="AE90" s="135">
        <v>7175432.0300000003</v>
      </c>
      <c r="AF90" s="135">
        <v>7179234.5099999998</v>
      </c>
      <c r="AG90" s="135">
        <v>7206792.2800000003</v>
      </c>
      <c r="AH90" s="135">
        <v>7217513.9299999997</v>
      </c>
      <c r="AI90" s="135">
        <v>7174705.5899999999</v>
      </c>
      <c r="AJ90" s="135">
        <v>5462219.6699999999</v>
      </c>
      <c r="AK90" s="135">
        <v>5442961.4699999997</v>
      </c>
      <c r="AL90" s="135">
        <v>444257.61</v>
      </c>
      <c r="AM90" s="135">
        <v>5874744.0499999998</v>
      </c>
      <c r="AN90" s="135">
        <v>5961124.9500000002</v>
      </c>
      <c r="AO90" s="135">
        <v>5586603.8700000001</v>
      </c>
      <c r="AP90" s="136">
        <v>5761863.0800000001</v>
      </c>
    </row>
    <row r="91" spans="1:42">
      <c r="A91" s="1" t="s">
        <v>14</v>
      </c>
      <c r="B91" s="6" t="s">
        <v>1411</v>
      </c>
      <c r="C91" s="6" t="s">
        <v>1411</v>
      </c>
      <c r="D91" s="6" t="s">
        <v>1459</v>
      </c>
      <c r="E91" s="3" t="s">
        <v>1495</v>
      </c>
      <c r="F91" s="3" t="s">
        <v>1654</v>
      </c>
      <c r="G91" s="6" t="s">
        <v>1543</v>
      </c>
      <c r="H91" s="7">
        <v>2068296</v>
      </c>
      <c r="I91" s="2"/>
      <c r="J91" s="2" t="s">
        <v>1652</v>
      </c>
      <c r="K91" s="8"/>
      <c r="L91" s="8" t="s">
        <v>1636</v>
      </c>
      <c r="M91" s="3" t="s">
        <v>1641</v>
      </c>
      <c r="N91" s="3"/>
      <c r="O91" s="5"/>
      <c r="P91" s="3"/>
      <c r="Q91" s="3" t="s">
        <v>756</v>
      </c>
      <c r="R91" s="3"/>
      <c r="S91" s="3"/>
      <c r="T91" s="9"/>
      <c r="U91" s="3"/>
      <c r="V91" s="3"/>
      <c r="W91" s="3"/>
      <c r="X91" s="4"/>
      <c r="Y91" s="135">
        <v>2028863.97</v>
      </c>
      <c r="Z91" s="135">
        <v>2120973.48</v>
      </c>
      <c r="AA91" s="135">
        <v>2162698.0699999998</v>
      </c>
      <c r="AB91" s="135">
        <v>2252418.98</v>
      </c>
      <c r="AC91" s="135">
        <v>2281169.98</v>
      </c>
      <c r="AD91" s="135">
        <v>2309532.5499999998</v>
      </c>
      <c r="AE91" s="135">
        <v>2362846.7200000002</v>
      </c>
      <c r="AF91" s="135">
        <v>2412244.27</v>
      </c>
      <c r="AG91" s="135">
        <v>2479175.21</v>
      </c>
      <c r="AH91" s="135">
        <v>2505418.9500000002</v>
      </c>
      <c r="AI91" s="135">
        <v>2554465.12</v>
      </c>
      <c r="AJ91" s="135">
        <v>2610260.17</v>
      </c>
      <c r="AK91" s="135">
        <v>2695231.96</v>
      </c>
      <c r="AL91" s="135">
        <v>93231.33</v>
      </c>
      <c r="AM91" s="135">
        <v>2797804.42</v>
      </c>
      <c r="AN91" s="135">
        <v>2865516.35</v>
      </c>
      <c r="AO91" s="135">
        <v>2899850.672117</v>
      </c>
      <c r="AP91" s="136">
        <v>2909178.2699429998</v>
      </c>
    </row>
    <row r="92" spans="1:42">
      <c r="A92" s="1" t="s">
        <v>14</v>
      </c>
      <c r="B92" s="6" t="s">
        <v>1432</v>
      </c>
      <c r="C92" s="6" t="s">
        <v>1432</v>
      </c>
      <c r="D92" s="6" t="s">
        <v>1432</v>
      </c>
      <c r="E92" s="3" t="s">
        <v>1495</v>
      </c>
      <c r="F92" s="3" t="s">
        <v>1654</v>
      </c>
      <c r="G92" s="6" t="s">
        <v>1588</v>
      </c>
      <c r="H92" s="7">
        <v>4771941</v>
      </c>
      <c r="I92" s="2"/>
      <c r="J92" s="2" t="s">
        <v>1652</v>
      </c>
      <c r="K92" s="8"/>
      <c r="L92" s="8" t="s">
        <v>1636</v>
      </c>
      <c r="M92" s="3" t="s">
        <v>1639</v>
      </c>
      <c r="N92" s="3"/>
      <c r="O92" s="5"/>
      <c r="P92" s="3"/>
      <c r="Q92" s="3" t="s">
        <v>756</v>
      </c>
      <c r="R92" s="3"/>
      <c r="S92" s="3"/>
      <c r="T92" s="9"/>
      <c r="U92" s="3"/>
      <c r="V92" s="3"/>
      <c r="W92" s="3"/>
      <c r="X92" s="4"/>
      <c r="Y92" s="135">
        <v>810027.24</v>
      </c>
      <c r="Z92" s="135">
        <v>805705.64</v>
      </c>
      <c r="AA92" s="135">
        <v>808996.27</v>
      </c>
      <c r="AB92" s="135">
        <v>827861.33</v>
      </c>
      <c r="AC92" s="135">
        <v>843248.86</v>
      </c>
      <c r="AD92" s="135">
        <v>843989.04</v>
      </c>
      <c r="AE92" s="135">
        <v>857606.48</v>
      </c>
      <c r="AF92" s="135">
        <v>866824.33</v>
      </c>
      <c r="AG92" s="135">
        <v>909501.37</v>
      </c>
      <c r="AH92" s="135">
        <v>927382.59</v>
      </c>
      <c r="AI92" s="135">
        <v>933603.27</v>
      </c>
      <c r="AJ92" s="135">
        <v>1014594.02</v>
      </c>
      <c r="AK92" s="135">
        <v>1025499.14</v>
      </c>
      <c r="AL92" s="135">
        <v>5434206.2800000003</v>
      </c>
      <c r="AM92" s="135">
        <v>1009535.7</v>
      </c>
      <c r="AN92" s="135">
        <v>1023886.51</v>
      </c>
      <c r="AO92" s="135">
        <v>1025083.26</v>
      </c>
      <c r="AP92" s="136">
        <v>1015008.6</v>
      </c>
    </row>
    <row r="93" spans="1:42">
      <c r="A93" s="1" t="s">
        <v>14</v>
      </c>
      <c r="B93" s="6" t="s">
        <v>1522</v>
      </c>
      <c r="C93" s="6" t="s">
        <v>1665</v>
      </c>
      <c r="D93" s="6" t="s">
        <v>1522</v>
      </c>
      <c r="E93" s="3" t="s">
        <v>1495</v>
      </c>
      <c r="F93" s="3" t="s">
        <v>1654</v>
      </c>
      <c r="G93" s="6" t="s">
        <v>1631</v>
      </c>
      <c r="H93" s="7">
        <v>19515384</v>
      </c>
      <c r="I93" s="2"/>
      <c r="J93" s="2" t="s">
        <v>1652</v>
      </c>
      <c r="K93" s="8"/>
      <c r="L93" s="8" t="s">
        <v>1636</v>
      </c>
      <c r="M93" s="3" t="s">
        <v>15</v>
      </c>
      <c r="N93" s="3"/>
      <c r="O93" s="5"/>
      <c r="P93" s="3"/>
      <c r="Q93" s="3" t="s">
        <v>1397</v>
      </c>
      <c r="R93" s="3"/>
      <c r="S93" s="3"/>
      <c r="T93" s="9"/>
      <c r="U93" s="3"/>
      <c r="V93" s="3"/>
      <c r="W93" s="3"/>
      <c r="X93" s="4"/>
      <c r="Y93" s="135">
        <v>0</v>
      </c>
      <c r="Z93" s="135">
        <v>0</v>
      </c>
      <c r="AA93" s="135">
        <v>0</v>
      </c>
      <c r="AB93" s="135">
        <v>0</v>
      </c>
      <c r="AC93" s="135">
        <v>0</v>
      </c>
      <c r="AD93" s="135">
        <v>0</v>
      </c>
      <c r="AE93" s="135">
        <v>0</v>
      </c>
      <c r="AF93" s="135">
        <v>0</v>
      </c>
      <c r="AG93" s="135">
        <v>0</v>
      </c>
      <c r="AH93" s="135">
        <v>0</v>
      </c>
      <c r="AI93" s="135">
        <v>0</v>
      </c>
      <c r="AJ93" s="135">
        <v>0</v>
      </c>
      <c r="AK93" s="135">
        <v>0</v>
      </c>
      <c r="AL93" s="135">
        <v>0</v>
      </c>
      <c r="AM93" s="135">
        <v>0</v>
      </c>
      <c r="AN93" s="135">
        <v>0</v>
      </c>
      <c r="AO93" s="135">
        <v>0</v>
      </c>
      <c r="AP93" s="136">
        <v>0</v>
      </c>
    </row>
    <row r="94" spans="1:42">
      <c r="A94" s="1" t="s">
        <v>14</v>
      </c>
      <c r="B94" s="6" t="s">
        <v>1435</v>
      </c>
      <c r="C94" s="6" t="s">
        <v>1665</v>
      </c>
      <c r="D94" s="6" t="s">
        <v>1483</v>
      </c>
      <c r="E94" s="3" t="s">
        <v>1495</v>
      </c>
      <c r="F94" s="3" t="s">
        <v>1654</v>
      </c>
      <c r="G94" s="6" t="s">
        <v>1592</v>
      </c>
      <c r="H94" s="7">
        <v>3208501</v>
      </c>
      <c r="I94" s="2"/>
      <c r="J94" s="2" t="s">
        <v>1652</v>
      </c>
      <c r="K94" s="8"/>
      <c r="L94" s="8" t="s">
        <v>1637</v>
      </c>
      <c r="M94" s="3" t="s">
        <v>1638</v>
      </c>
      <c r="N94" s="3"/>
      <c r="O94" s="5"/>
      <c r="P94" s="3"/>
      <c r="Q94" s="3" t="s">
        <v>756</v>
      </c>
      <c r="R94" s="3"/>
      <c r="S94" s="3"/>
      <c r="T94" s="9"/>
      <c r="U94" s="3"/>
      <c r="V94" s="3"/>
      <c r="W94" s="3"/>
      <c r="X94" s="4"/>
      <c r="Y94" s="135">
        <v>3240798.7</v>
      </c>
      <c r="Z94" s="135">
        <v>3241700.58</v>
      </c>
      <c r="AA94" s="135">
        <v>3224425.48</v>
      </c>
      <c r="AB94" s="135">
        <v>3188019.02</v>
      </c>
      <c r="AC94" s="135">
        <v>3262819.81</v>
      </c>
      <c r="AD94" s="135">
        <v>3309729.24</v>
      </c>
      <c r="AE94" s="135">
        <v>3311179.75</v>
      </c>
      <c r="AF94" s="135">
        <v>3351984.65</v>
      </c>
      <c r="AG94" s="135">
        <v>3348717.78</v>
      </c>
      <c r="AH94" s="135">
        <v>3396619.91</v>
      </c>
      <c r="AI94" s="135">
        <v>3411034.1</v>
      </c>
      <c r="AJ94" s="135">
        <v>3452437.08</v>
      </c>
      <c r="AK94" s="135">
        <v>3496941.75</v>
      </c>
      <c r="AL94" s="135">
        <v>1019193.45</v>
      </c>
      <c r="AM94" s="135">
        <v>3449423.6</v>
      </c>
      <c r="AN94" s="135">
        <v>3506336.43</v>
      </c>
      <c r="AO94" s="135">
        <v>3490783.4142735</v>
      </c>
      <c r="AP94" s="136">
        <v>3484224.2157247998</v>
      </c>
    </row>
    <row r="95" spans="1:42">
      <c r="A95" s="1" t="s">
        <v>14</v>
      </c>
      <c r="B95" s="6" t="s">
        <v>1451</v>
      </c>
      <c r="C95" s="6" t="s">
        <v>1451</v>
      </c>
      <c r="D95" s="6" t="s">
        <v>1493</v>
      </c>
      <c r="E95" s="3" t="s">
        <v>1495</v>
      </c>
      <c r="F95" s="3" t="s">
        <v>1654</v>
      </c>
      <c r="G95" s="6" t="s">
        <v>1617</v>
      </c>
      <c r="H95" s="7">
        <v>3997766</v>
      </c>
      <c r="I95" s="2"/>
      <c r="J95" s="2" t="s">
        <v>1653</v>
      </c>
      <c r="K95" s="8"/>
      <c r="L95" s="8" t="s">
        <v>1636</v>
      </c>
      <c r="M95" s="3" t="s">
        <v>1641</v>
      </c>
      <c r="N95" s="3"/>
      <c r="O95" s="5"/>
      <c r="P95" s="3"/>
      <c r="Q95" s="3" t="s">
        <v>756</v>
      </c>
      <c r="R95" s="3"/>
      <c r="S95" s="3"/>
      <c r="T95" s="9"/>
      <c r="U95" s="3"/>
      <c r="V95" s="3"/>
      <c r="W95" s="3"/>
      <c r="X95" s="4"/>
      <c r="Y95" s="135">
        <v>521910.37</v>
      </c>
      <c r="Z95" s="135">
        <v>497063.72</v>
      </c>
      <c r="AA95" s="135">
        <v>522565.35</v>
      </c>
      <c r="AB95" s="135">
        <v>559302.18999999994</v>
      </c>
      <c r="AC95" s="135">
        <v>595359.5</v>
      </c>
      <c r="AD95" s="135">
        <v>655378.02</v>
      </c>
      <c r="AE95" s="135">
        <v>622289.24</v>
      </c>
      <c r="AF95" s="135">
        <v>644684.75</v>
      </c>
      <c r="AG95" s="135">
        <v>653651.07999999996</v>
      </c>
      <c r="AH95" s="135">
        <v>664177.43000000005</v>
      </c>
      <c r="AI95" s="135">
        <v>703186.23</v>
      </c>
      <c r="AJ95" s="135">
        <v>823126.93</v>
      </c>
      <c r="AK95" s="135">
        <v>884098.5</v>
      </c>
      <c r="AL95" s="135">
        <v>14848.66</v>
      </c>
      <c r="AM95" s="135">
        <v>870403.8</v>
      </c>
      <c r="AN95" s="135">
        <v>885349.47</v>
      </c>
      <c r="AO95" s="135">
        <v>828044.34</v>
      </c>
      <c r="AP95" s="136">
        <v>833982.12</v>
      </c>
    </row>
    <row r="96" spans="1:42">
      <c r="A96" s="1" t="s">
        <v>14</v>
      </c>
      <c r="B96" s="6" t="s">
        <v>1437</v>
      </c>
      <c r="C96" s="6" t="s">
        <v>1437</v>
      </c>
      <c r="D96" s="6" t="s">
        <v>1437</v>
      </c>
      <c r="E96" s="3" t="s">
        <v>1495</v>
      </c>
      <c r="F96" s="3" t="s">
        <v>1654</v>
      </c>
      <c r="G96" s="6" t="s">
        <v>1595</v>
      </c>
      <c r="H96" s="7">
        <v>18850870</v>
      </c>
      <c r="I96" s="2"/>
      <c r="J96" s="2" t="s">
        <v>1653</v>
      </c>
      <c r="K96" s="8"/>
      <c r="L96" s="8" t="s">
        <v>1636</v>
      </c>
      <c r="M96" s="3" t="s">
        <v>1644</v>
      </c>
      <c r="N96" s="3"/>
      <c r="O96" s="5"/>
      <c r="P96" s="3"/>
      <c r="Q96" s="3" t="s">
        <v>1397</v>
      </c>
      <c r="R96" s="3"/>
      <c r="S96" s="3"/>
      <c r="T96" s="9"/>
      <c r="U96" s="3"/>
      <c r="V96" s="3"/>
      <c r="W96" s="3"/>
      <c r="X96" s="4"/>
      <c r="Y96" s="135">
        <v>0</v>
      </c>
      <c r="Z96" s="135">
        <v>0</v>
      </c>
      <c r="AA96" s="135">
        <v>0</v>
      </c>
      <c r="AB96" s="135">
        <v>0</v>
      </c>
      <c r="AC96" s="135">
        <v>0</v>
      </c>
      <c r="AD96" s="135">
        <v>0</v>
      </c>
      <c r="AE96" s="135">
        <v>0</v>
      </c>
      <c r="AF96" s="135">
        <v>0</v>
      </c>
      <c r="AG96" s="135">
        <v>0</v>
      </c>
      <c r="AH96" s="135">
        <v>0</v>
      </c>
      <c r="AI96" s="135">
        <v>0</v>
      </c>
      <c r="AJ96" s="135">
        <v>1925756.19</v>
      </c>
      <c r="AK96" s="135">
        <v>2791117.72</v>
      </c>
      <c r="AL96" s="135">
        <v>3509421.95</v>
      </c>
      <c r="AM96" s="135">
        <v>3129296.52</v>
      </c>
      <c r="AN96" s="135">
        <v>3102483.85</v>
      </c>
      <c r="AO96" s="135">
        <v>3528336.8925510002</v>
      </c>
      <c r="AP96" s="136">
        <v>3564242.3741879999</v>
      </c>
    </row>
    <row r="97" spans="1:42">
      <c r="A97" s="1" t="s">
        <v>14</v>
      </c>
      <c r="B97" s="6" t="s">
        <v>1439</v>
      </c>
      <c r="C97" s="6" t="s">
        <v>1660</v>
      </c>
      <c r="D97" s="6" t="s">
        <v>1439</v>
      </c>
      <c r="E97" s="3" t="s">
        <v>1495</v>
      </c>
      <c r="F97" s="3" t="s">
        <v>1654</v>
      </c>
      <c r="G97" s="6" t="s">
        <v>1597</v>
      </c>
      <c r="H97" s="7">
        <v>292615</v>
      </c>
      <c r="I97" s="2"/>
      <c r="J97" s="2" t="s">
        <v>1652</v>
      </c>
      <c r="K97" s="8"/>
      <c r="L97" s="8" t="s">
        <v>1636</v>
      </c>
      <c r="M97" s="3" t="s">
        <v>1641</v>
      </c>
      <c r="N97" s="3"/>
      <c r="O97" s="5"/>
      <c r="P97" s="3"/>
      <c r="Q97" s="3" t="s">
        <v>756</v>
      </c>
      <c r="R97" s="3"/>
      <c r="S97" s="3"/>
      <c r="T97" s="9"/>
      <c r="U97" s="3"/>
      <c r="V97" s="3"/>
      <c r="W97" s="3"/>
      <c r="X97" s="4"/>
      <c r="Y97" s="135">
        <v>3962204.32</v>
      </c>
      <c r="Z97" s="135">
        <v>4056156.39</v>
      </c>
      <c r="AA97" s="135">
        <v>4081420.93</v>
      </c>
      <c r="AB97" s="135">
        <v>4123374.63</v>
      </c>
      <c r="AC97" s="135">
        <v>4184001.28</v>
      </c>
      <c r="AD97" s="135">
        <v>4121096.56</v>
      </c>
      <c r="AE97" s="135">
        <v>3922064.81</v>
      </c>
      <c r="AF97" s="135">
        <v>3932589.85</v>
      </c>
      <c r="AG97" s="135">
        <v>3748838.48</v>
      </c>
      <c r="AH97" s="135">
        <v>3774011.72</v>
      </c>
      <c r="AI97" s="135">
        <v>3391272.2</v>
      </c>
      <c r="AJ97" s="135">
        <v>3210901.05</v>
      </c>
      <c r="AK97" s="135">
        <v>3247574.74</v>
      </c>
      <c r="AL97" s="135">
        <v>2803374.83</v>
      </c>
      <c r="AM97" s="135">
        <v>3238583.49</v>
      </c>
      <c r="AN97" s="135">
        <v>3307606.27</v>
      </c>
      <c r="AO97" s="135">
        <v>3346860.511318</v>
      </c>
      <c r="AP97" s="136">
        <v>3350654.6588791502</v>
      </c>
    </row>
    <row r="98" spans="1:42">
      <c r="A98" s="1" t="s">
        <v>14</v>
      </c>
      <c r="B98" s="6" t="s">
        <v>1439</v>
      </c>
      <c r="C98" s="6" t="s">
        <v>1660</v>
      </c>
      <c r="D98" s="6" t="s">
        <v>1439</v>
      </c>
      <c r="E98" s="3" t="s">
        <v>1495</v>
      </c>
      <c r="F98" s="3" t="s">
        <v>1654</v>
      </c>
      <c r="G98" s="6" t="s">
        <v>1597</v>
      </c>
      <c r="H98" s="7">
        <v>18818976</v>
      </c>
      <c r="I98" s="2"/>
      <c r="J98" s="2" t="s">
        <v>1652</v>
      </c>
      <c r="K98" s="8"/>
      <c r="L98" s="8" t="s">
        <v>1636</v>
      </c>
      <c r="M98" s="3" t="s">
        <v>1641</v>
      </c>
      <c r="N98" s="3"/>
      <c r="O98" s="5"/>
      <c r="P98" s="3"/>
      <c r="Q98" s="3" t="s">
        <v>756</v>
      </c>
      <c r="R98" s="3"/>
      <c r="S98" s="3"/>
      <c r="T98" s="9"/>
      <c r="U98" s="3"/>
      <c r="V98" s="3"/>
      <c r="W98" s="3"/>
      <c r="X98" s="4"/>
      <c r="Y98" s="135">
        <v>0</v>
      </c>
      <c r="Z98" s="135">
        <v>0</v>
      </c>
      <c r="AA98" s="135">
        <v>0</v>
      </c>
      <c r="AB98" s="135">
        <v>0</v>
      </c>
      <c r="AC98" s="135">
        <v>0</v>
      </c>
      <c r="AD98" s="135">
        <v>0</v>
      </c>
      <c r="AE98" s="135">
        <v>0</v>
      </c>
      <c r="AF98" s="135">
        <v>0</v>
      </c>
      <c r="AG98" s="135">
        <v>0</v>
      </c>
      <c r="AH98" s="135">
        <v>0</v>
      </c>
      <c r="AI98" s="135">
        <v>0</v>
      </c>
      <c r="AJ98" s="135">
        <v>52000</v>
      </c>
      <c r="AK98" s="135">
        <v>17202.71</v>
      </c>
      <c r="AL98" s="135">
        <v>3282878.78</v>
      </c>
      <c r="AM98" s="135">
        <v>1069092.73</v>
      </c>
      <c r="AN98" s="135">
        <v>925821.74</v>
      </c>
      <c r="AO98" s="135">
        <v>934441.37</v>
      </c>
      <c r="AP98" s="136">
        <v>945210.43</v>
      </c>
    </row>
    <row r="99" spans="1:42">
      <c r="A99" s="1" t="s">
        <v>14</v>
      </c>
      <c r="B99" s="6" t="s">
        <v>1440</v>
      </c>
      <c r="C99" s="6" t="s">
        <v>1662</v>
      </c>
      <c r="D99" s="6" t="s">
        <v>1440</v>
      </c>
      <c r="E99" s="3" t="s">
        <v>1495</v>
      </c>
      <c r="F99" s="3" t="s">
        <v>1654</v>
      </c>
      <c r="G99" s="6" t="s">
        <v>1599</v>
      </c>
      <c r="H99" s="7">
        <v>11210659</v>
      </c>
      <c r="I99" s="2"/>
      <c r="J99" s="2" t="s">
        <v>1652</v>
      </c>
      <c r="K99" s="8"/>
      <c r="L99" s="8" t="s">
        <v>1636</v>
      </c>
      <c r="M99" s="3" t="s">
        <v>1642</v>
      </c>
      <c r="N99" s="3"/>
      <c r="O99" s="5"/>
      <c r="P99" s="3"/>
      <c r="Q99" s="3" t="s">
        <v>1397</v>
      </c>
      <c r="R99" s="3"/>
      <c r="S99" s="3"/>
      <c r="T99" s="9"/>
      <c r="U99" s="3"/>
      <c r="V99" s="3"/>
      <c r="W99" s="3"/>
      <c r="X99" s="4"/>
      <c r="Y99" s="135">
        <v>3182367.53</v>
      </c>
      <c r="Z99" s="135">
        <v>3445329.04</v>
      </c>
      <c r="AA99" s="135">
        <v>3149569.95</v>
      </c>
      <c r="AB99" s="135">
        <v>3828432.37</v>
      </c>
      <c r="AC99" s="135">
        <v>2068165.13</v>
      </c>
      <c r="AD99" s="135">
        <v>1905748.35</v>
      </c>
      <c r="AE99" s="135">
        <v>1405046.03</v>
      </c>
      <c r="AF99" s="135">
        <v>1420336.96</v>
      </c>
      <c r="AG99" s="135">
        <v>1437635.96</v>
      </c>
      <c r="AH99" s="135">
        <v>1450641.03</v>
      </c>
      <c r="AI99" s="135">
        <v>1465166.53</v>
      </c>
      <c r="AJ99" s="135">
        <v>1487180.71</v>
      </c>
      <c r="AK99" s="135">
        <v>1501498.84</v>
      </c>
      <c r="AL99" s="135">
        <v>1127622.6499999999</v>
      </c>
      <c r="AM99" s="135">
        <v>1490457.67</v>
      </c>
      <c r="AN99" s="135">
        <v>1508309.16</v>
      </c>
      <c r="AO99" s="135">
        <v>2646105.7683605701</v>
      </c>
      <c r="AP99" s="136">
        <v>2674959.3506927802</v>
      </c>
    </row>
    <row r="100" spans="1:42">
      <c r="A100" s="1" t="s">
        <v>14</v>
      </c>
      <c r="B100" s="6" t="s">
        <v>1441</v>
      </c>
      <c r="C100" s="6" t="s">
        <v>1441</v>
      </c>
      <c r="D100" s="6" t="s">
        <v>1441</v>
      </c>
      <c r="E100" s="3" t="s">
        <v>1495</v>
      </c>
      <c r="F100" s="3" t="s">
        <v>1654</v>
      </c>
      <c r="G100" s="6" t="s">
        <v>1600</v>
      </c>
      <c r="H100" s="7">
        <v>579979</v>
      </c>
      <c r="I100" s="2"/>
      <c r="J100" s="2" t="s">
        <v>1652</v>
      </c>
      <c r="K100" s="8"/>
      <c r="L100" s="8" t="s">
        <v>1636</v>
      </c>
      <c r="M100" s="3" t="s">
        <v>1638</v>
      </c>
      <c r="N100" s="3"/>
      <c r="O100" s="5"/>
      <c r="P100" s="3"/>
      <c r="Q100" s="3" t="s">
        <v>756</v>
      </c>
      <c r="R100" s="3"/>
      <c r="S100" s="3"/>
      <c r="T100" s="9"/>
      <c r="U100" s="3"/>
      <c r="V100" s="3"/>
      <c r="W100" s="3"/>
      <c r="X100" s="4"/>
      <c r="Y100" s="135">
        <v>2076032.26</v>
      </c>
      <c r="Z100" s="135">
        <v>2250543.5699999998</v>
      </c>
      <c r="AA100" s="135">
        <v>2395803.63</v>
      </c>
      <c r="AB100" s="135">
        <v>1715172.16</v>
      </c>
      <c r="AC100" s="135">
        <v>1751027.88</v>
      </c>
      <c r="AD100" s="135">
        <v>1775170.44</v>
      </c>
      <c r="AE100" s="135">
        <v>1699884.36</v>
      </c>
      <c r="AF100" s="135">
        <v>1792835.63</v>
      </c>
      <c r="AG100" s="135">
        <v>1735592.1</v>
      </c>
      <c r="AH100" s="135">
        <v>1955404.78</v>
      </c>
      <c r="AI100" s="135">
        <v>2011963.77</v>
      </c>
      <c r="AJ100" s="135">
        <v>2083710.87</v>
      </c>
      <c r="AK100" s="135">
        <v>2054159.48</v>
      </c>
      <c r="AL100" s="135">
        <v>1514097.35</v>
      </c>
      <c r="AM100" s="135">
        <v>1927630.69</v>
      </c>
      <c r="AN100" s="135">
        <v>2021893.62</v>
      </c>
      <c r="AO100" s="135">
        <v>2080683.41761704</v>
      </c>
      <c r="AP100" s="136">
        <v>2069666.71039067</v>
      </c>
    </row>
    <row r="101" spans="1:42">
      <c r="A101" s="1" t="s">
        <v>14</v>
      </c>
      <c r="B101" s="6" t="s">
        <v>1442</v>
      </c>
      <c r="C101" s="6" t="s">
        <v>1442</v>
      </c>
      <c r="D101" s="6" t="s">
        <v>1442</v>
      </c>
      <c r="E101" s="3" t="s">
        <v>1495</v>
      </c>
      <c r="F101" s="3" t="s">
        <v>1654</v>
      </c>
      <c r="G101" s="6" t="s">
        <v>1602</v>
      </c>
      <c r="H101" s="7">
        <v>2247004</v>
      </c>
      <c r="I101" s="2"/>
      <c r="J101" s="2" t="s">
        <v>1652</v>
      </c>
      <c r="K101" s="8"/>
      <c r="L101" s="8" t="s">
        <v>1636</v>
      </c>
      <c r="M101" s="3" t="s">
        <v>1645</v>
      </c>
      <c r="N101" s="3"/>
      <c r="O101" s="5"/>
      <c r="P101" s="3"/>
      <c r="Q101" s="3" t="s">
        <v>756</v>
      </c>
      <c r="R101" s="3"/>
      <c r="S101" s="3"/>
      <c r="T101" s="9"/>
      <c r="U101" s="3"/>
      <c r="V101" s="3"/>
      <c r="W101" s="3"/>
      <c r="X101" s="4"/>
      <c r="Y101" s="135">
        <v>4468946.1399999997</v>
      </c>
      <c r="Z101" s="135">
        <v>4321296.22</v>
      </c>
      <c r="AA101" s="135">
        <v>4422904.58</v>
      </c>
      <c r="AB101" s="135">
        <v>4661462.22</v>
      </c>
      <c r="AC101" s="135">
        <v>4842378.71</v>
      </c>
      <c r="AD101" s="135">
        <v>4853091.26</v>
      </c>
      <c r="AE101" s="135">
        <v>4854867</v>
      </c>
      <c r="AF101" s="135">
        <v>4968447.2699999996</v>
      </c>
      <c r="AG101" s="135">
        <v>5079175.9800000004</v>
      </c>
      <c r="AH101" s="135">
        <v>5129318.0199999996</v>
      </c>
      <c r="AI101" s="135">
        <v>5158729.79</v>
      </c>
      <c r="AJ101" s="135">
        <v>5240603.07</v>
      </c>
      <c r="AK101" s="135">
        <v>5493381.6200000001</v>
      </c>
      <c r="AL101" s="135">
        <v>2000963.09</v>
      </c>
      <c r="AM101" s="135">
        <v>5345951.42</v>
      </c>
      <c r="AN101" s="135">
        <v>5408575.4299999997</v>
      </c>
      <c r="AO101" s="135">
        <v>5058745.5</v>
      </c>
      <c r="AP101" s="136">
        <v>4956438.5599999996</v>
      </c>
    </row>
    <row r="102" spans="1:42">
      <c r="A102" s="1" t="s">
        <v>14</v>
      </c>
      <c r="B102" s="6" t="s">
        <v>1443</v>
      </c>
      <c r="C102" s="6" t="s">
        <v>1664</v>
      </c>
      <c r="D102" s="6" t="s">
        <v>1443</v>
      </c>
      <c r="E102" s="3" t="s">
        <v>1495</v>
      </c>
      <c r="F102" s="3" t="s">
        <v>1654</v>
      </c>
      <c r="G102" s="6" t="s">
        <v>1606</v>
      </c>
      <c r="H102" s="7">
        <v>16917348</v>
      </c>
      <c r="I102" s="2"/>
      <c r="J102" s="2" t="s">
        <v>1653</v>
      </c>
      <c r="K102" s="8"/>
      <c r="L102" s="8" t="s">
        <v>1636</v>
      </c>
      <c r="M102" s="3" t="s">
        <v>1638</v>
      </c>
      <c r="N102" s="3"/>
      <c r="O102" s="5"/>
      <c r="P102" s="3"/>
      <c r="Q102" s="3" t="s">
        <v>756</v>
      </c>
      <c r="R102" s="3"/>
      <c r="S102" s="3"/>
      <c r="T102" s="9"/>
      <c r="U102" s="3"/>
      <c r="V102" s="3"/>
      <c r="W102" s="3"/>
      <c r="X102" s="4"/>
      <c r="Y102" s="135">
        <v>0.21</v>
      </c>
      <c r="Z102" s="135">
        <v>0.08</v>
      </c>
      <c r="AA102" s="135">
        <v>0.2</v>
      </c>
      <c r="AB102" s="135">
        <v>0.1</v>
      </c>
      <c r="AC102" s="135">
        <v>0.26</v>
      </c>
      <c r="AD102" s="135">
        <v>0.26</v>
      </c>
      <c r="AE102" s="135">
        <v>0.08</v>
      </c>
      <c r="AF102" s="135">
        <v>0.14000000000000001</v>
      </c>
      <c r="AG102" s="135">
        <v>0.17</v>
      </c>
      <c r="AH102" s="135">
        <v>0.17</v>
      </c>
      <c r="AI102" s="135">
        <v>0.17</v>
      </c>
      <c r="AJ102" s="135">
        <v>0.17</v>
      </c>
      <c r="AK102" s="135">
        <v>0.17</v>
      </c>
      <c r="AL102" s="135">
        <v>5447723.5099999998</v>
      </c>
      <c r="AM102" s="135">
        <v>0.21</v>
      </c>
      <c r="AN102" s="135">
        <v>0.21</v>
      </c>
      <c r="AO102" s="135">
        <v>0.21</v>
      </c>
      <c r="AP102" s="136">
        <v>0.21</v>
      </c>
    </row>
    <row r="103" spans="1:42">
      <c r="A103" s="1" t="s">
        <v>14</v>
      </c>
      <c r="B103" s="6" t="s">
        <v>1517</v>
      </c>
      <c r="C103" s="6" t="s">
        <v>1419</v>
      </c>
      <c r="D103" s="6" t="s">
        <v>1517</v>
      </c>
      <c r="E103" s="3" t="s">
        <v>1495</v>
      </c>
      <c r="F103" s="3" t="s">
        <v>1654</v>
      </c>
      <c r="G103" s="6" t="s">
        <v>1621</v>
      </c>
      <c r="H103" s="7">
        <v>16424007</v>
      </c>
      <c r="I103" s="2"/>
      <c r="J103" s="2" t="s">
        <v>1652</v>
      </c>
      <c r="K103" s="8"/>
      <c r="L103" s="8" t="s">
        <v>1636</v>
      </c>
      <c r="M103" s="3" t="s">
        <v>1643</v>
      </c>
      <c r="N103" s="3"/>
      <c r="O103" s="5"/>
      <c r="P103" s="3"/>
      <c r="Q103" s="3" t="s">
        <v>1397</v>
      </c>
      <c r="R103" s="3"/>
      <c r="S103" s="3"/>
      <c r="T103" s="9"/>
      <c r="U103" s="3"/>
      <c r="V103" s="3"/>
      <c r="W103" s="3"/>
      <c r="X103" s="4"/>
      <c r="Y103" s="135">
        <v>58758.63</v>
      </c>
      <c r="Z103" s="135">
        <v>60090.33</v>
      </c>
      <c r="AA103" s="135">
        <v>360879.85</v>
      </c>
      <c r="AB103" s="135">
        <v>361775.16</v>
      </c>
      <c r="AC103" s="135">
        <v>361947.79</v>
      </c>
      <c r="AD103" s="135">
        <v>363238.11</v>
      </c>
      <c r="AE103" s="135">
        <v>363154.81</v>
      </c>
      <c r="AF103" s="135">
        <v>365103.46</v>
      </c>
      <c r="AG103" s="135">
        <v>351758.38</v>
      </c>
      <c r="AH103" s="135">
        <v>314851.09999999998</v>
      </c>
      <c r="AI103" s="135">
        <v>275523.12</v>
      </c>
      <c r="AJ103" s="135">
        <v>277614.34000000003</v>
      </c>
      <c r="AK103" s="135">
        <v>275012.78999999998</v>
      </c>
      <c r="AL103" s="135">
        <v>16.89</v>
      </c>
      <c r="AM103" s="135">
        <v>1081401.6399999999</v>
      </c>
      <c r="AN103" s="135">
        <v>1278970.1499999999</v>
      </c>
      <c r="AO103" s="135">
        <v>1292446.7355820001</v>
      </c>
      <c r="AP103" s="136">
        <v>1305443.9847619999</v>
      </c>
    </row>
    <row r="104" spans="1:42">
      <c r="A104" s="1" t="s">
        <v>14</v>
      </c>
      <c r="B104" s="6" t="s">
        <v>1444</v>
      </c>
      <c r="C104" s="6" t="s">
        <v>1663</v>
      </c>
      <c r="D104" s="6" t="s">
        <v>1444</v>
      </c>
      <c r="E104" s="3" t="s">
        <v>1495</v>
      </c>
      <c r="F104" s="3" t="s">
        <v>1654</v>
      </c>
      <c r="G104" s="6" t="s">
        <v>1607</v>
      </c>
      <c r="H104" s="7">
        <v>598451</v>
      </c>
      <c r="I104" s="2"/>
      <c r="J104" s="2" t="s">
        <v>1652</v>
      </c>
      <c r="K104" s="8"/>
      <c r="L104" s="8" t="s">
        <v>1636</v>
      </c>
      <c r="M104" s="3" t="s">
        <v>1639</v>
      </c>
      <c r="N104" s="3"/>
      <c r="O104" s="5"/>
      <c r="P104" s="3"/>
      <c r="Q104" s="3" t="s">
        <v>1397</v>
      </c>
      <c r="R104" s="3"/>
      <c r="S104" s="3"/>
      <c r="T104" s="9"/>
      <c r="U104" s="3"/>
      <c r="V104" s="3"/>
      <c r="W104" s="3"/>
      <c r="X104" s="4"/>
      <c r="Y104" s="135">
        <v>1982076.27</v>
      </c>
      <c r="Z104" s="135">
        <v>2015184.7</v>
      </c>
      <c r="AA104" s="135">
        <v>2047547.98</v>
      </c>
      <c r="AB104" s="135">
        <v>2086102.71</v>
      </c>
      <c r="AC104" s="135">
        <v>2100418.2999999998</v>
      </c>
      <c r="AD104" s="135">
        <v>2110733.2200000002</v>
      </c>
      <c r="AE104" s="135">
        <v>2099283.9700000002</v>
      </c>
      <c r="AF104" s="135">
        <v>2115577.87</v>
      </c>
      <c r="AG104" s="135">
        <v>2141250</v>
      </c>
      <c r="AH104" s="135">
        <v>2148132.3199999998</v>
      </c>
      <c r="AI104" s="135">
        <v>2150305.0099999998</v>
      </c>
      <c r="AJ104" s="135">
        <v>2175661.04</v>
      </c>
      <c r="AK104" s="135">
        <v>2200743.2400000002</v>
      </c>
      <c r="AL104" s="135">
        <v>0.17</v>
      </c>
      <c r="AM104" s="135">
        <v>2203600.62</v>
      </c>
      <c r="AN104" s="135">
        <v>2226696.42</v>
      </c>
      <c r="AO104" s="135">
        <v>2213015.5843874998</v>
      </c>
      <c r="AP104" s="136">
        <v>2180622.3744637598</v>
      </c>
    </row>
    <row r="105" spans="1:42">
      <c r="A105" s="1" t="s">
        <v>14</v>
      </c>
      <c r="B105" s="6" t="s">
        <v>1445</v>
      </c>
      <c r="C105" s="6" t="s">
        <v>1663</v>
      </c>
      <c r="D105" s="6" t="s">
        <v>1445</v>
      </c>
      <c r="E105" s="3" t="s">
        <v>1495</v>
      </c>
      <c r="F105" s="3" t="s">
        <v>1654</v>
      </c>
      <c r="G105" s="6" t="s">
        <v>1609</v>
      </c>
      <c r="H105" s="7">
        <v>68501</v>
      </c>
      <c r="I105" s="2"/>
      <c r="J105" s="2" t="s">
        <v>1652</v>
      </c>
      <c r="K105" s="8"/>
      <c r="L105" s="8" t="s">
        <v>1636</v>
      </c>
      <c r="M105" s="3" t="s">
        <v>1639</v>
      </c>
      <c r="N105" s="3"/>
      <c r="O105" s="5"/>
      <c r="P105" s="3"/>
      <c r="Q105" s="3" t="s">
        <v>1397</v>
      </c>
      <c r="R105" s="3"/>
      <c r="S105" s="3"/>
      <c r="T105" s="9"/>
      <c r="U105" s="3"/>
      <c r="V105" s="3"/>
      <c r="W105" s="3"/>
      <c r="X105" s="4"/>
      <c r="Y105" s="135">
        <v>2209012.98</v>
      </c>
      <c r="Z105" s="135">
        <v>2245405.73</v>
      </c>
      <c r="AA105" s="135">
        <v>2272935.7999999998</v>
      </c>
      <c r="AB105" s="135">
        <v>1986963.09</v>
      </c>
      <c r="AC105" s="135">
        <v>1795494.36</v>
      </c>
      <c r="AD105" s="135">
        <v>1810406.71</v>
      </c>
      <c r="AE105" s="135">
        <v>1803790.82</v>
      </c>
      <c r="AF105" s="135">
        <v>1817215.72</v>
      </c>
      <c r="AG105" s="135">
        <v>1856321.92</v>
      </c>
      <c r="AH105" s="135">
        <v>1877291.26</v>
      </c>
      <c r="AI105" s="135">
        <v>1886396.76</v>
      </c>
      <c r="AJ105" s="135">
        <v>1922614.47</v>
      </c>
      <c r="AK105" s="135">
        <v>1952775.54</v>
      </c>
      <c r="AL105" s="135">
        <v>2215160.64</v>
      </c>
      <c r="AM105" s="135">
        <v>1965725.76</v>
      </c>
      <c r="AN105" s="135">
        <v>1978310.43</v>
      </c>
      <c r="AO105" s="135">
        <v>1967315.1593508499</v>
      </c>
      <c r="AP105" s="136">
        <v>1945354.97753593</v>
      </c>
    </row>
    <row r="106" spans="1:42">
      <c r="A106" s="1" t="s">
        <v>14</v>
      </c>
      <c r="B106" s="6" t="s">
        <v>1447</v>
      </c>
      <c r="C106" s="6" t="s">
        <v>1447</v>
      </c>
      <c r="D106" s="6" t="s">
        <v>1447</v>
      </c>
      <c r="E106" s="3" t="s">
        <v>1495</v>
      </c>
      <c r="F106" s="3" t="s">
        <v>1654</v>
      </c>
      <c r="G106" s="6" t="s">
        <v>1611</v>
      </c>
      <c r="H106" s="7">
        <v>17866382</v>
      </c>
      <c r="I106" s="2"/>
      <c r="J106" s="2" t="s">
        <v>1652</v>
      </c>
      <c r="K106" s="8"/>
      <c r="L106" s="8" t="s">
        <v>1636</v>
      </c>
      <c r="M106" s="3" t="s">
        <v>1640</v>
      </c>
      <c r="N106" s="3"/>
      <c r="O106" s="5"/>
      <c r="P106" s="3"/>
      <c r="Q106" s="3" t="s">
        <v>1397</v>
      </c>
      <c r="R106" s="3"/>
      <c r="S106" s="3"/>
      <c r="T106" s="9"/>
      <c r="U106" s="3"/>
      <c r="V106" s="3"/>
      <c r="W106" s="3"/>
      <c r="X106" s="4"/>
      <c r="Y106" s="135">
        <v>0</v>
      </c>
      <c r="Z106" s="135">
        <v>0</v>
      </c>
      <c r="AA106" s="135">
        <v>701051.5</v>
      </c>
      <c r="AB106" s="135">
        <v>705497.92</v>
      </c>
      <c r="AC106" s="135">
        <v>773835.26</v>
      </c>
      <c r="AD106" s="135">
        <v>780991.46</v>
      </c>
      <c r="AE106" s="135">
        <v>791348.38</v>
      </c>
      <c r="AF106" s="135">
        <v>800355.12</v>
      </c>
      <c r="AG106" s="135">
        <v>801137.83</v>
      </c>
      <c r="AH106" s="135">
        <v>807347.29</v>
      </c>
      <c r="AI106" s="135">
        <v>814262.95</v>
      </c>
      <c r="AJ106" s="135">
        <v>824131.86</v>
      </c>
      <c r="AK106" s="135">
        <v>834648.77</v>
      </c>
      <c r="AL106" s="135">
        <v>1961670.68</v>
      </c>
      <c r="AM106" s="135">
        <v>846877.14</v>
      </c>
      <c r="AN106" s="135">
        <v>853363.31</v>
      </c>
      <c r="AO106" s="135">
        <v>872067.84276000003</v>
      </c>
      <c r="AP106" s="136">
        <v>883958.49595999997</v>
      </c>
    </row>
    <row r="107" spans="1:42">
      <c r="A107" s="1" t="s">
        <v>14</v>
      </c>
      <c r="B107" s="6" t="s">
        <v>1448</v>
      </c>
      <c r="C107" s="6" t="s">
        <v>1448</v>
      </c>
      <c r="D107" s="6" t="s">
        <v>1448</v>
      </c>
      <c r="E107" s="3" t="s">
        <v>1495</v>
      </c>
      <c r="F107" s="3" t="s">
        <v>1654</v>
      </c>
      <c r="G107" s="6" t="s">
        <v>1612</v>
      </c>
      <c r="H107" s="7">
        <v>3093727</v>
      </c>
      <c r="I107" s="2"/>
      <c r="J107" s="2" t="s">
        <v>1652</v>
      </c>
      <c r="K107" s="8"/>
      <c r="L107" s="8" t="s">
        <v>1636</v>
      </c>
      <c r="M107" s="3" t="s">
        <v>1638</v>
      </c>
      <c r="N107" s="3"/>
      <c r="O107" s="5"/>
      <c r="P107" s="3"/>
      <c r="Q107" s="3" t="s">
        <v>756</v>
      </c>
      <c r="R107" s="3"/>
      <c r="S107" s="3"/>
      <c r="T107" s="9"/>
      <c r="U107" s="3"/>
      <c r="V107" s="3"/>
      <c r="W107" s="3"/>
      <c r="X107" s="4"/>
      <c r="Y107" s="135">
        <v>143278.47</v>
      </c>
      <c r="Z107" s="135">
        <v>143984.45000000001</v>
      </c>
      <c r="AA107" s="135">
        <v>145705.63</v>
      </c>
      <c r="AB107" s="135">
        <v>148621.74</v>
      </c>
      <c r="AC107" s="135">
        <v>150902.54</v>
      </c>
      <c r="AD107" s="135">
        <v>153116.51999999999</v>
      </c>
      <c r="AE107" s="135">
        <v>153537.76999999999</v>
      </c>
      <c r="AF107" s="135">
        <v>155832.47</v>
      </c>
      <c r="AG107" s="135">
        <v>259672.23</v>
      </c>
      <c r="AH107" s="135">
        <v>262174.07</v>
      </c>
      <c r="AI107" s="135">
        <v>266257.09000000003</v>
      </c>
      <c r="AJ107" s="135">
        <v>269419.5</v>
      </c>
      <c r="AK107" s="135">
        <v>290457.94</v>
      </c>
      <c r="AL107" s="135">
        <v>840427.45</v>
      </c>
      <c r="AM107" s="135">
        <v>309614.27</v>
      </c>
      <c r="AN107" s="135">
        <v>310850.21000000002</v>
      </c>
      <c r="AO107" s="135">
        <v>330690.11716791999</v>
      </c>
      <c r="AP107" s="136">
        <v>332731.59781231999</v>
      </c>
    </row>
    <row r="108" spans="1:42">
      <c r="A108" s="1" t="s">
        <v>14</v>
      </c>
      <c r="B108" s="6" t="s">
        <v>1449</v>
      </c>
      <c r="C108" s="6" t="s">
        <v>1449</v>
      </c>
      <c r="D108" s="6" t="s">
        <v>1492</v>
      </c>
      <c r="E108" s="3" t="s">
        <v>1495</v>
      </c>
      <c r="F108" s="3" t="s">
        <v>1654</v>
      </c>
      <c r="G108" s="6" t="s">
        <v>1614</v>
      </c>
      <c r="H108" s="7">
        <v>14918710</v>
      </c>
      <c r="I108" s="2"/>
      <c r="J108" s="2" t="s">
        <v>1652</v>
      </c>
      <c r="K108" s="8"/>
      <c r="L108" s="8" t="s">
        <v>1636</v>
      </c>
      <c r="M108" s="3" t="s">
        <v>1644</v>
      </c>
      <c r="N108" s="3"/>
      <c r="O108" s="5"/>
      <c r="P108" s="3"/>
      <c r="Q108" s="3" t="s">
        <v>1397</v>
      </c>
      <c r="R108" s="3"/>
      <c r="S108" s="3"/>
      <c r="T108" s="9"/>
      <c r="U108" s="3"/>
      <c r="V108" s="3"/>
      <c r="W108" s="3"/>
      <c r="X108" s="4"/>
      <c r="Y108" s="135">
        <v>603166.97</v>
      </c>
      <c r="Z108" s="135">
        <v>608594.80000000005</v>
      </c>
      <c r="AA108" s="135">
        <v>615897.01</v>
      </c>
      <c r="AB108" s="135">
        <v>624277.85</v>
      </c>
      <c r="AC108" s="135">
        <v>630945.91</v>
      </c>
      <c r="AD108" s="135">
        <v>638414.93999999994</v>
      </c>
      <c r="AE108" s="135">
        <v>646055.01</v>
      </c>
      <c r="AF108" s="135">
        <v>654201.21</v>
      </c>
      <c r="AG108" s="135">
        <v>662794.6</v>
      </c>
      <c r="AH108" s="135">
        <v>671359.73</v>
      </c>
      <c r="AI108" s="135">
        <v>677325.74</v>
      </c>
      <c r="AJ108" s="135">
        <v>684159.38</v>
      </c>
      <c r="AK108" s="135">
        <v>692351.18</v>
      </c>
      <c r="AL108" s="135">
        <v>293616.42</v>
      </c>
      <c r="AM108" s="135">
        <v>627862.28</v>
      </c>
      <c r="AN108" s="135">
        <v>606667.87</v>
      </c>
      <c r="AO108" s="135" t="s">
        <v>1497</v>
      </c>
      <c r="AP108" s="136" t="s">
        <v>1497</v>
      </c>
    </row>
    <row r="109" spans="1:42">
      <c r="A109" s="1" t="s">
        <v>14</v>
      </c>
      <c r="B109" s="6" t="s">
        <v>1419</v>
      </c>
      <c r="C109" s="6" t="s">
        <v>1419</v>
      </c>
      <c r="D109" s="6" t="s">
        <v>1470</v>
      </c>
      <c r="E109" s="3" t="s">
        <v>1496</v>
      </c>
      <c r="F109" s="3" t="s">
        <v>1655</v>
      </c>
      <c r="G109" s="6" t="s">
        <v>1564</v>
      </c>
      <c r="H109" s="7">
        <v>9445242</v>
      </c>
      <c r="I109" s="2"/>
      <c r="J109" s="2" t="s">
        <v>1652</v>
      </c>
      <c r="K109" s="8"/>
      <c r="L109" s="8" t="s">
        <v>1637</v>
      </c>
      <c r="M109" s="3" t="s">
        <v>1643</v>
      </c>
      <c r="N109" s="3"/>
      <c r="O109" s="5"/>
      <c r="P109" s="3"/>
      <c r="Q109" s="3" t="s">
        <v>756</v>
      </c>
      <c r="R109" s="3"/>
      <c r="S109" s="3"/>
      <c r="T109" s="9"/>
      <c r="U109" s="3"/>
      <c r="V109" s="3"/>
      <c r="W109" s="3"/>
      <c r="X109" s="4"/>
      <c r="Y109" s="135">
        <v>0</v>
      </c>
      <c r="Z109" s="135">
        <v>0</v>
      </c>
      <c r="AA109" s="135">
        <v>0</v>
      </c>
      <c r="AB109" s="135">
        <v>0</v>
      </c>
      <c r="AC109" s="135">
        <v>0</v>
      </c>
      <c r="AD109" s="135">
        <v>0</v>
      </c>
      <c r="AE109" s="135">
        <v>1104322.3</v>
      </c>
      <c r="AF109" s="135">
        <v>1303751.56</v>
      </c>
      <c r="AG109" s="135">
        <v>3707875.03</v>
      </c>
      <c r="AH109" s="135">
        <v>3613686.37</v>
      </c>
      <c r="AI109" s="135">
        <v>4139201.72</v>
      </c>
      <c r="AJ109" s="135">
        <v>3754347.1</v>
      </c>
      <c r="AK109" s="135">
        <v>3200000</v>
      </c>
      <c r="AL109" s="135">
        <v>3006808.31</v>
      </c>
      <c r="AM109" s="135">
        <v>193.14</v>
      </c>
      <c r="AN109" s="135">
        <v>300.89</v>
      </c>
      <c r="AO109" s="135">
        <v>300.89</v>
      </c>
      <c r="AP109" s="136">
        <v>300.89</v>
      </c>
    </row>
    <row r="110" spans="1:42">
      <c r="A110" s="1" t="s">
        <v>14</v>
      </c>
      <c r="B110" s="6" t="s">
        <v>1450</v>
      </c>
      <c r="C110" s="6" t="s">
        <v>1661</v>
      </c>
      <c r="D110" s="6" t="s">
        <v>1450</v>
      </c>
      <c r="E110" s="3" t="s">
        <v>1495</v>
      </c>
      <c r="F110" s="3" t="s">
        <v>1669</v>
      </c>
      <c r="G110" s="6" t="s">
        <v>1615</v>
      </c>
      <c r="H110" s="7">
        <v>3588879</v>
      </c>
      <c r="I110" s="2"/>
      <c r="J110" s="2" t="s">
        <v>1652</v>
      </c>
      <c r="K110" s="8"/>
      <c r="L110" s="8" t="s">
        <v>1636</v>
      </c>
      <c r="M110" s="3" t="s">
        <v>1639</v>
      </c>
      <c r="N110" s="3"/>
      <c r="O110" s="5"/>
      <c r="P110" s="3"/>
      <c r="Q110" s="3" t="s">
        <v>1397</v>
      </c>
      <c r="R110" s="3"/>
      <c r="S110" s="3"/>
      <c r="T110" s="9"/>
      <c r="U110" s="3"/>
      <c r="V110" s="3"/>
      <c r="W110" s="3"/>
      <c r="X110" s="4"/>
      <c r="Y110" s="135">
        <v>7867.81</v>
      </c>
      <c r="Z110" s="135">
        <v>7795.96</v>
      </c>
      <c r="AA110" s="135">
        <v>8086.82</v>
      </c>
      <c r="AB110" s="135">
        <v>8270.4500000000007</v>
      </c>
      <c r="AC110" s="135">
        <v>7412.81</v>
      </c>
      <c r="AD110" s="135">
        <v>12387.84</v>
      </c>
      <c r="AE110" s="135">
        <v>11340.78</v>
      </c>
      <c r="AF110" s="135">
        <v>12175.47</v>
      </c>
      <c r="AG110" s="135">
        <v>12508.58</v>
      </c>
      <c r="AH110" s="135">
        <v>12473.61</v>
      </c>
      <c r="AI110" s="135">
        <v>12736.14</v>
      </c>
      <c r="AJ110" s="135">
        <v>12575.69</v>
      </c>
      <c r="AK110" s="135">
        <v>13951.34</v>
      </c>
      <c r="AL110" s="135">
        <v>626993.01</v>
      </c>
      <c r="AM110" s="135">
        <v>613429.65</v>
      </c>
      <c r="AN110" s="135">
        <v>820044.73</v>
      </c>
      <c r="AO110" s="135">
        <v>814920.59175200004</v>
      </c>
      <c r="AP110" s="136">
        <v>1305855.669704</v>
      </c>
    </row>
    <row r="111" spans="1:42">
      <c r="A111" s="1" t="s">
        <v>14</v>
      </c>
      <c r="B111" s="6" t="s">
        <v>1490</v>
      </c>
      <c r="C111" s="6" t="s">
        <v>1664</v>
      </c>
      <c r="D111" s="6" t="s">
        <v>1490</v>
      </c>
      <c r="E111" s="3" t="s">
        <v>1495</v>
      </c>
      <c r="F111" s="3" t="s">
        <v>1654</v>
      </c>
      <c r="G111" s="6" t="s">
        <v>1625</v>
      </c>
      <c r="H111" s="7">
        <v>19082129</v>
      </c>
      <c r="I111" s="2"/>
      <c r="J111" s="2" t="s">
        <v>1653</v>
      </c>
      <c r="K111" s="8"/>
      <c r="L111" s="8" t="s">
        <v>1636</v>
      </c>
      <c r="M111" s="3" t="s">
        <v>1642</v>
      </c>
      <c r="N111" s="3"/>
      <c r="O111" s="5"/>
      <c r="P111" s="3"/>
      <c r="Q111" s="3" t="s">
        <v>1397</v>
      </c>
      <c r="R111" s="3"/>
      <c r="S111" s="3"/>
      <c r="T111" s="9"/>
      <c r="U111" s="3"/>
      <c r="V111" s="3"/>
      <c r="W111" s="3"/>
      <c r="X111" s="4"/>
      <c r="Y111" s="135">
        <v>0</v>
      </c>
      <c r="Z111" s="135">
        <v>0</v>
      </c>
      <c r="AA111" s="135">
        <v>0</v>
      </c>
      <c r="AB111" s="135">
        <v>0</v>
      </c>
      <c r="AC111" s="135">
        <v>0</v>
      </c>
      <c r="AD111" s="135">
        <v>0</v>
      </c>
      <c r="AE111" s="135">
        <v>0</v>
      </c>
      <c r="AF111" s="135">
        <v>0</v>
      </c>
      <c r="AG111" s="135">
        <v>0</v>
      </c>
      <c r="AH111" s="135">
        <v>0</v>
      </c>
      <c r="AI111" s="135">
        <v>0</v>
      </c>
      <c r="AJ111" s="135">
        <v>0</v>
      </c>
      <c r="AK111" s="135">
        <v>0</v>
      </c>
      <c r="AL111" s="135">
        <v>0</v>
      </c>
      <c r="AM111" s="135">
        <v>0</v>
      </c>
      <c r="AN111" s="135">
        <v>0</v>
      </c>
      <c r="AO111" s="135">
        <v>0</v>
      </c>
      <c r="AP111" s="136">
        <v>0</v>
      </c>
    </row>
    <row r="112" spans="1:42">
      <c r="A112" s="1" t="s">
        <v>14</v>
      </c>
      <c r="B112" s="6" t="s">
        <v>1419</v>
      </c>
      <c r="C112" s="6" t="s">
        <v>1419</v>
      </c>
      <c r="D112" s="6" t="s">
        <v>1469</v>
      </c>
      <c r="E112" s="3" t="s">
        <v>1495</v>
      </c>
      <c r="F112" s="3" t="s">
        <v>1655</v>
      </c>
      <c r="G112" s="6" t="s">
        <v>1563</v>
      </c>
      <c r="H112" s="7">
        <v>4163084</v>
      </c>
      <c r="I112" s="2"/>
      <c r="J112" s="2" t="s">
        <v>1652</v>
      </c>
      <c r="K112" s="8"/>
      <c r="L112" s="8" t="s">
        <v>1636</v>
      </c>
      <c r="M112" s="3" t="s">
        <v>1643</v>
      </c>
      <c r="N112" s="3"/>
      <c r="O112" s="5"/>
      <c r="P112" s="3"/>
      <c r="Q112" s="3" t="s">
        <v>756</v>
      </c>
      <c r="R112" s="3"/>
      <c r="S112" s="3"/>
      <c r="T112" s="9"/>
      <c r="U112" s="3"/>
      <c r="V112" s="3"/>
      <c r="W112" s="3"/>
      <c r="X112" s="4"/>
      <c r="Y112" s="135">
        <v>9492300.2799999993</v>
      </c>
      <c r="Z112" s="135">
        <v>4316836.0599999996</v>
      </c>
      <c r="AA112" s="135">
        <v>24729566.640000001</v>
      </c>
      <c r="AB112" s="135">
        <v>0</v>
      </c>
      <c r="AC112" s="135">
        <v>5708341.7000000002</v>
      </c>
      <c r="AD112" s="135">
        <v>0</v>
      </c>
      <c r="AE112" s="135">
        <v>1000000</v>
      </c>
      <c r="AF112" s="135">
        <v>0</v>
      </c>
      <c r="AG112" s="135">
        <v>9606051.5199999996</v>
      </c>
      <c r="AH112" s="135">
        <v>4580751.1399999997</v>
      </c>
      <c r="AI112" s="135">
        <v>4000000</v>
      </c>
      <c r="AJ112" s="135">
        <v>1906069.36</v>
      </c>
      <c r="AK112" s="135">
        <v>3500000</v>
      </c>
      <c r="AL112" s="135">
        <v>9718990.9700000007</v>
      </c>
      <c r="AM112" s="135">
        <v>3102926.1</v>
      </c>
      <c r="AN112" s="135">
        <v>16002838.73</v>
      </c>
      <c r="AO112" s="135">
        <v>5886490.6504319999</v>
      </c>
      <c r="AP112" s="136">
        <v>2736.63</v>
      </c>
    </row>
    <row r="113" spans="1:42">
      <c r="A113" s="1" t="s">
        <v>14</v>
      </c>
      <c r="B113" s="6" t="s">
        <v>1452</v>
      </c>
      <c r="C113" s="6" t="s">
        <v>1452</v>
      </c>
      <c r="D113" s="6" t="s">
        <v>1452</v>
      </c>
      <c r="E113" s="3" t="s">
        <v>1495</v>
      </c>
      <c r="F113" s="3" t="s">
        <v>1654</v>
      </c>
      <c r="G113" s="6" t="s">
        <v>1619</v>
      </c>
      <c r="H113" s="7">
        <v>3257275</v>
      </c>
      <c r="I113" s="2"/>
      <c r="J113" s="2" t="s">
        <v>1652</v>
      </c>
      <c r="K113" s="8"/>
      <c r="L113" s="8" t="s">
        <v>1636</v>
      </c>
      <c r="M113" s="3" t="s">
        <v>1638</v>
      </c>
      <c r="N113" s="3"/>
      <c r="O113" s="5"/>
      <c r="P113" s="3"/>
      <c r="Q113" s="3" t="s">
        <v>1397</v>
      </c>
      <c r="R113" s="3"/>
      <c r="S113" s="3"/>
      <c r="T113" s="9"/>
      <c r="U113" s="3"/>
      <c r="V113" s="3"/>
      <c r="W113" s="3"/>
      <c r="X113" s="4"/>
      <c r="Y113" s="135">
        <v>0</v>
      </c>
      <c r="Z113" s="135">
        <v>0</v>
      </c>
      <c r="AA113" s="135">
        <v>0</v>
      </c>
      <c r="AB113" s="135">
        <v>0</v>
      </c>
      <c r="AC113" s="135">
        <v>0</v>
      </c>
      <c r="AD113" s="135">
        <v>0</v>
      </c>
      <c r="AE113" s="135">
        <v>0</v>
      </c>
      <c r="AF113" s="135">
        <v>0</v>
      </c>
      <c r="AG113" s="135">
        <v>0</v>
      </c>
      <c r="AH113" s="135">
        <v>546385.92000000004</v>
      </c>
      <c r="AI113" s="135">
        <v>854462.58</v>
      </c>
      <c r="AJ113" s="135">
        <v>870835.8</v>
      </c>
      <c r="AK113" s="135">
        <v>882650.44</v>
      </c>
      <c r="AL113" s="135">
        <v>894603.75</v>
      </c>
      <c r="AM113" s="135">
        <v>1021541.67</v>
      </c>
      <c r="AN113" s="135">
        <v>1033461.92</v>
      </c>
      <c r="AO113" s="135">
        <v>1039185.408438</v>
      </c>
      <c r="AP113" s="136">
        <v>1199143.785281</v>
      </c>
    </row>
    <row r="114" spans="1:42">
      <c r="A114" s="1" t="s">
        <v>1670</v>
      </c>
      <c r="B114" s="6" t="s">
        <v>1431</v>
      </c>
      <c r="C114" s="6" t="s">
        <v>1431</v>
      </c>
      <c r="D114" s="6" t="s">
        <v>1673</v>
      </c>
      <c r="E114" s="3" t="s">
        <v>1496</v>
      </c>
      <c r="F114" s="3" t="s">
        <v>1654</v>
      </c>
      <c r="G114" s="6" t="s">
        <v>1671</v>
      </c>
      <c r="H114" s="7" t="s">
        <v>1672</v>
      </c>
      <c r="I114" s="2"/>
      <c r="J114" s="2" t="s">
        <v>1652</v>
      </c>
      <c r="K114" s="8"/>
      <c r="L114" s="8" t="s">
        <v>1636</v>
      </c>
      <c r="M114" s="3"/>
      <c r="N114" s="3"/>
      <c r="O114" s="5"/>
      <c r="P114" s="3"/>
      <c r="Q114" s="3" t="s">
        <v>756</v>
      </c>
      <c r="R114" s="3"/>
      <c r="S114" s="3"/>
      <c r="T114" s="9"/>
      <c r="U114" s="3"/>
      <c r="V114" s="3"/>
      <c r="W114" s="3"/>
      <c r="X114" s="4"/>
      <c r="Y114" s="134">
        <v>0</v>
      </c>
      <c r="Z114" s="134">
        <v>0</v>
      </c>
      <c r="AA114" s="134">
        <v>0</v>
      </c>
      <c r="AB114" s="134">
        <v>0</v>
      </c>
      <c r="AC114" s="134">
        <v>0</v>
      </c>
      <c r="AD114" s="134">
        <v>0</v>
      </c>
      <c r="AE114" s="134">
        <v>0</v>
      </c>
      <c r="AF114" s="134">
        <v>0</v>
      </c>
      <c r="AG114" s="134">
        <v>0</v>
      </c>
      <c r="AH114" s="134">
        <v>0</v>
      </c>
      <c r="AI114" s="134">
        <v>0</v>
      </c>
      <c r="AJ114" s="134">
        <v>300149.43</v>
      </c>
      <c r="AK114" s="134">
        <v>394905.63</v>
      </c>
      <c r="AL114" s="134">
        <v>295552.89</v>
      </c>
      <c r="AM114" s="134">
        <v>296263.08</v>
      </c>
      <c r="AN114" s="134">
        <v>1017882.07</v>
      </c>
      <c r="AO114" s="134">
        <v>1504913.21</v>
      </c>
      <c r="AP114" s="134">
        <v>1501052.3</v>
      </c>
    </row>
    <row r="115" spans="1:42">
      <c r="A115" s="1" t="s">
        <v>14</v>
      </c>
      <c r="B115" s="6" t="s">
        <v>1676</v>
      </c>
      <c r="C115" s="6" t="s">
        <v>1676</v>
      </c>
      <c r="D115" s="6" t="s">
        <v>1676</v>
      </c>
      <c r="E115" s="3" t="s">
        <v>1495</v>
      </c>
      <c r="F115" s="3" t="s">
        <v>1654</v>
      </c>
      <c r="G115" s="6" t="s">
        <v>1677</v>
      </c>
      <c r="H115" s="7">
        <v>242411</v>
      </c>
      <c r="I115" s="2"/>
      <c r="J115" s="2" t="s">
        <v>1652</v>
      </c>
      <c r="K115" s="8"/>
      <c r="L115" s="8" t="s">
        <v>1636</v>
      </c>
      <c r="M115" s="3"/>
      <c r="N115" s="3"/>
      <c r="O115" s="5"/>
      <c r="P115" s="3"/>
      <c r="Q115" s="3" t="s">
        <v>1397</v>
      </c>
      <c r="R115" s="3"/>
      <c r="S115" s="3"/>
      <c r="T115" s="9"/>
      <c r="U115" s="3"/>
      <c r="V115" s="3"/>
      <c r="W115" s="3"/>
      <c r="X115" s="4"/>
      <c r="Y115" s="136">
        <v>0</v>
      </c>
      <c r="Z115" s="136">
        <v>0</v>
      </c>
      <c r="AA115" s="136">
        <v>0</v>
      </c>
      <c r="AB115" s="136">
        <v>0</v>
      </c>
      <c r="AC115" s="136">
        <v>0</v>
      </c>
      <c r="AD115" s="136">
        <v>0</v>
      </c>
      <c r="AE115" s="136">
        <v>0</v>
      </c>
      <c r="AF115" s="136">
        <v>0</v>
      </c>
      <c r="AG115" s="136">
        <v>0</v>
      </c>
      <c r="AH115" s="136">
        <v>0</v>
      </c>
      <c r="AI115" s="136">
        <v>0</v>
      </c>
      <c r="AJ115" s="136">
        <v>0</v>
      </c>
      <c r="AK115" s="136">
        <v>0</v>
      </c>
      <c r="AL115" s="136">
        <v>0</v>
      </c>
      <c r="AM115" s="136">
        <v>0</v>
      </c>
      <c r="AN115" s="136">
        <v>0</v>
      </c>
      <c r="AO115" s="136">
        <v>0</v>
      </c>
      <c r="AP115" s="135">
        <v>2087902.2776213</v>
      </c>
    </row>
    <row r="116" spans="1:42">
      <c r="A116" s="1" t="s">
        <v>14</v>
      </c>
      <c r="B116" s="6" t="s">
        <v>1678</v>
      </c>
      <c r="C116" s="6" t="s">
        <v>1678</v>
      </c>
      <c r="D116" s="6" t="s">
        <v>1678</v>
      </c>
      <c r="E116" s="3" t="s">
        <v>1495</v>
      </c>
      <c r="F116" s="3" t="s">
        <v>1654</v>
      </c>
      <c r="G116" s="6" t="s">
        <v>1680</v>
      </c>
      <c r="H116" s="7">
        <v>576471</v>
      </c>
      <c r="I116" s="2"/>
      <c r="J116" s="2" t="s">
        <v>1653</v>
      </c>
      <c r="K116" s="8"/>
      <c r="L116" s="8" t="s">
        <v>1636</v>
      </c>
      <c r="M116" s="3"/>
      <c r="N116" s="3"/>
      <c r="O116" s="5"/>
      <c r="P116" s="3"/>
      <c r="Q116" s="3" t="s">
        <v>1397</v>
      </c>
      <c r="R116" s="3"/>
      <c r="S116" s="3"/>
      <c r="T116" s="9"/>
      <c r="U116" s="3"/>
      <c r="V116" s="3"/>
      <c r="W116" s="3"/>
      <c r="X116" s="4" t="s">
        <v>1679</v>
      </c>
      <c r="Y116" s="136">
        <v>0</v>
      </c>
      <c r="Z116" s="136">
        <v>0</v>
      </c>
      <c r="AA116" s="136">
        <v>0</v>
      </c>
      <c r="AB116" s="136">
        <v>0</v>
      </c>
      <c r="AC116" s="136">
        <v>0</v>
      </c>
      <c r="AD116" s="136">
        <v>0</v>
      </c>
      <c r="AE116" s="136">
        <v>0</v>
      </c>
      <c r="AF116" s="136">
        <v>0</v>
      </c>
      <c r="AG116" s="136">
        <v>0</v>
      </c>
      <c r="AH116" s="136">
        <v>0</v>
      </c>
      <c r="AI116" s="136">
        <v>0</v>
      </c>
      <c r="AJ116" s="136">
        <v>0</v>
      </c>
      <c r="AK116" s="136">
        <v>0</v>
      </c>
      <c r="AL116" s="136">
        <v>0</v>
      </c>
      <c r="AM116" s="136">
        <v>0</v>
      </c>
      <c r="AN116" s="136">
        <v>0</v>
      </c>
      <c r="AO116" s="136">
        <v>0</v>
      </c>
      <c r="AP116" s="135">
        <v>50</v>
      </c>
    </row>
    <row r="117" spans="1:42">
      <c r="A117" s="1" t="s">
        <v>14</v>
      </c>
      <c r="B117" s="6" t="s">
        <v>1681</v>
      </c>
      <c r="C117" s="6" t="s">
        <v>1681</v>
      </c>
      <c r="D117" s="6" t="s">
        <v>1681</v>
      </c>
      <c r="E117" s="3" t="s">
        <v>1496</v>
      </c>
      <c r="F117" s="3" t="s">
        <v>1655</v>
      </c>
      <c r="G117" s="6" t="s">
        <v>1682</v>
      </c>
      <c r="H117" s="7">
        <v>7153570</v>
      </c>
      <c r="I117" s="2"/>
      <c r="J117" s="141" t="s">
        <v>1652</v>
      </c>
      <c r="K117" s="8"/>
      <c r="L117" s="8"/>
      <c r="M117" s="3"/>
      <c r="N117" s="3"/>
      <c r="O117" s="5"/>
      <c r="P117" s="3"/>
      <c r="Q117" s="3" t="s">
        <v>1397</v>
      </c>
      <c r="R117" s="3"/>
      <c r="S117" s="3"/>
      <c r="T117" s="9"/>
      <c r="U117" s="3"/>
      <c r="V117" s="3"/>
      <c r="W117" s="3"/>
      <c r="X117" s="4" t="s">
        <v>1683</v>
      </c>
      <c r="Y117" s="136">
        <v>0</v>
      </c>
      <c r="Z117" s="136">
        <v>0</v>
      </c>
      <c r="AA117" s="136">
        <v>0</v>
      </c>
      <c r="AB117" s="136">
        <v>0</v>
      </c>
      <c r="AC117" s="136">
        <v>0</v>
      </c>
      <c r="AD117" s="136">
        <v>0</v>
      </c>
      <c r="AE117" s="136">
        <v>0</v>
      </c>
      <c r="AF117" s="136">
        <v>0</v>
      </c>
      <c r="AG117" s="136">
        <v>0</v>
      </c>
      <c r="AH117" s="136">
        <v>0</v>
      </c>
      <c r="AI117" s="136">
        <v>0</v>
      </c>
      <c r="AJ117" s="136">
        <v>0</v>
      </c>
      <c r="AK117" s="136">
        <v>0</v>
      </c>
      <c r="AL117" s="136">
        <v>0</v>
      </c>
      <c r="AM117" s="136">
        <v>0</v>
      </c>
      <c r="AN117" s="136">
        <v>0</v>
      </c>
      <c r="AO117" s="136">
        <v>0</v>
      </c>
      <c r="AP117" s="135">
        <v>465.95</v>
      </c>
    </row>
    <row r="118" spans="1:42">
      <c r="A118" s="1" t="s">
        <v>14</v>
      </c>
      <c r="B118" s="6" t="s">
        <v>1447</v>
      </c>
      <c r="C118" s="6" t="s">
        <v>1447</v>
      </c>
      <c r="D118" s="6" t="s">
        <v>1447</v>
      </c>
      <c r="E118" s="3" t="s">
        <v>1495</v>
      </c>
      <c r="F118" s="3" t="s">
        <v>1654</v>
      </c>
      <c r="G118" s="6" t="s">
        <v>1611</v>
      </c>
      <c r="H118" s="7">
        <v>7272031</v>
      </c>
      <c r="I118" s="2"/>
      <c r="J118" s="141" t="s">
        <v>1652</v>
      </c>
      <c r="K118" s="8"/>
      <c r="L118" s="8"/>
      <c r="M118" s="3"/>
      <c r="N118" s="3"/>
      <c r="O118" s="5"/>
      <c r="P118" s="3"/>
      <c r="Q118" s="3" t="s">
        <v>1397</v>
      </c>
      <c r="R118" s="3"/>
      <c r="S118" s="3"/>
      <c r="T118" s="9"/>
      <c r="U118" s="3"/>
      <c r="V118" s="3"/>
      <c r="W118" s="3"/>
      <c r="X118" s="4" t="s">
        <v>1684</v>
      </c>
      <c r="Y118" s="136">
        <v>0</v>
      </c>
      <c r="Z118" s="136">
        <v>0</v>
      </c>
      <c r="AA118" s="136">
        <v>0</v>
      </c>
      <c r="AB118" s="136">
        <v>0</v>
      </c>
      <c r="AC118" s="136">
        <v>0</v>
      </c>
      <c r="AD118" s="136">
        <v>0</v>
      </c>
      <c r="AE118" s="136">
        <v>0</v>
      </c>
      <c r="AF118" s="136">
        <v>0</v>
      </c>
      <c r="AG118" s="136">
        <v>0</v>
      </c>
      <c r="AH118" s="136">
        <v>0</v>
      </c>
      <c r="AI118" s="136">
        <v>0</v>
      </c>
      <c r="AJ118" s="136">
        <v>0</v>
      </c>
      <c r="AK118" s="136">
        <v>0</v>
      </c>
      <c r="AL118" s="136">
        <v>0</v>
      </c>
      <c r="AM118" s="136">
        <v>0</v>
      </c>
      <c r="AN118" s="136">
        <v>0</v>
      </c>
      <c r="AO118" s="136">
        <v>0</v>
      </c>
      <c r="AP118" s="135">
        <v>0</v>
      </c>
    </row>
    <row r="119" spans="1:42">
      <c r="A119" s="1" t="s">
        <v>14</v>
      </c>
      <c r="B119" s="6" t="s">
        <v>1685</v>
      </c>
      <c r="C119" s="6" t="s">
        <v>1685</v>
      </c>
      <c r="D119" s="6" t="s">
        <v>1685</v>
      </c>
      <c r="E119" s="3" t="s">
        <v>1496</v>
      </c>
      <c r="F119" s="3" t="s">
        <v>1655</v>
      </c>
      <c r="G119" s="6" t="s">
        <v>1686</v>
      </c>
      <c r="H119" s="7">
        <v>17770891</v>
      </c>
      <c r="I119" s="2"/>
      <c r="J119" s="141" t="s">
        <v>1653</v>
      </c>
      <c r="K119" s="8"/>
      <c r="L119" s="8"/>
      <c r="M119" s="3"/>
      <c r="N119" s="3"/>
      <c r="O119" s="5"/>
      <c r="P119" s="3"/>
      <c r="Q119" s="3" t="s">
        <v>1397</v>
      </c>
      <c r="R119" s="3"/>
      <c r="S119" s="3"/>
      <c r="T119" s="9"/>
      <c r="U119" s="3"/>
      <c r="V119" s="3"/>
      <c r="W119" s="3"/>
      <c r="X119" s="4" t="s">
        <v>1687</v>
      </c>
      <c r="Y119" s="136">
        <v>0</v>
      </c>
      <c r="Z119" s="136">
        <v>0</v>
      </c>
      <c r="AA119" s="136">
        <v>0</v>
      </c>
      <c r="AB119" s="136">
        <v>0</v>
      </c>
      <c r="AC119" s="136">
        <v>0</v>
      </c>
      <c r="AD119" s="136">
        <v>0</v>
      </c>
      <c r="AE119" s="136">
        <v>0</v>
      </c>
      <c r="AF119" s="136">
        <v>0</v>
      </c>
      <c r="AG119" s="136">
        <v>0</v>
      </c>
      <c r="AH119" s="136">
        <v>0</v>
      </c>
      <c r="AI119" s="136">
        <v>0</v>
      </c>
      <c r="AJ119" s="136">
        <v>0</v>
      </c>
      <c r="AK119" s="136">
        <v>0</v>
      </c>
      <c r="AL119" s="136">
        <v>0</v>
      </c>
      <c r="AM119" s="136">
        <v>0</v>
      </c>
      <c r="AN119" s="136">
        <v>0</v>
      </c>
      <c r="AO119" s="136">
        <v>0</v>
      </c>
      <c r="AP119" s="135">
        <v>828507.44894644001</v>
      </c>
    </row>
    <row r="120" spans="1:42">
      <c r="A120" s="1" t="s">
        <v>14</v>
      </c>
      <c r="B120" s="6" t="s">
        <v>1406</v>
      </c>
      <c r="C120" s="6" t="s">
        <v>1406</v>
      </c>
      <c r="D120" s="6" t="s">
        <v>1688</v>
      </c>
      <c r="E120" s="3" t="s">
        <v>1496</v>
      </c>
      <c r="F120" s="3" t="s">
        <v>1655</v>
      </c>
      <c r="G120" s="6" t="s">
        <v>1689</v>
      </c>
      <c r="H120" s="7">
        <v>18466421</v>
      </c>
      <c r="I120" s="2"/>
      <c r="J120" s="141" t="s">
        <v>1652</v>
      </c>
      <c r="K120" s="8"/>
      <c r="L120" s="8"/>
      <c r="M120" s="3"/>
      <c r="N120" s="3"/>
      <c r="O120" s="5"/>
      <c r="P120" s="3"/>
      <c r="Q120" s="3" t="s">
        <v>1397</v>
      </c>
      <c r="R120" s="3"/>
      <c r="S120" s="3"/>
      <c r="T120" s="9"/>
      <c r="U120" s="3"/>
      <c r="V120" s="3"/>
      <c r="W120" s="3"/>
      <c r="X120" s="4" t="s">
        <v>1690</v>
      </c>
      <c r="Y120" s="136">
        <v>0</v>
      </c>
      <c r="Z120" s="136">
        <v>0</v>
      </c>
      <c r="AA120" s="136">
        <v>0</v>
      </c>
      <c r="AB120" s="136">
        <v>0</v>
      </c>
      <c r="AC120" s="136">
        <v>0</v>
      </c>
      <c r="AD120" s="136">
        <v>0</v>
      </c>
      <c r="AE120" s="136">
        <v>0</v>
      </c>
      <c r="AF120" s="136">
        <v>0</v>
      </c>
      <c r="AG120" s="136">
        <v>0</v>
      </c>
      <c r="AH120" s="136">
        <v>0</v>
      </c>
      <c r="AI120" s="136">
        <v>0</v>
      </c>
      <c r="AJ120" s="136">
        <v>0</v>
      </c>
      <c r="AK120" s="136">
        <v>0</v>
      </c>
      <c r="AL120" s="136">
        <v>0</v>
      </c>
      <c r="AM120" s="136">
        <v>0</v>
      </c>
      <c r="AN120" s="136">
        <v>0</v>
      </c>
      <c r="AO120" s="136">
        <v>0</v>
      </c>
      <c r="AP120" s="135">
        <v>0</v>
      </c>
    </row>
    <row r="121" spans="1:42">
      <c r="A121" s="1" t="s">
        <v>14</v>
      </c>
      <c r="B121" s="6" t="s">
        <v>1691</v>
      </c>
      <c r="C121" s="6" t="s">
        <v>1662</v>
      </c>
      <c r="D121" s="6" t="s">
        <v>1691</v>
      </c>
      <c r="E121" s="3" t="s">
        <v>1495</v>
      </c>
      <c r="F121" s="3" t="s">
        <v>1654</v>
      </c>
      <c r="G121" s="6" t="s">
        <v>1692</v>
      </c>
      <c r="H121" s="7">
        <v>19522034</v>
      </c>
      <c r="I121" s="2"/>
      <c r="J121" s="141" t="s">
        <v>1652</v>
      </c>
      <c r="K121" s="8"/>
      <c r="L121" s="8"/>
      <c r="M121" s="3"/>
      <c r="N121" s="3"/>
      <c r="O121" s="5"/>
      <c r="P121" s="3"/>
      <c r="Q121" s="3" t="s">
        <v>1397</v>
      </c>
      <c r="R121" s="3"/>
      <c r="S121" s="3"/>
      <c r="T121" s="9"/>
      <c r="U121" s="3"/>
      <c r="V121" s="3"/>
      <c r="W121" s="3"/>
      <c r="X121" s="4" t="s">
        <v>1693</v>
      </c>
      <c r="Y121" s="136">
        <v>0</v>
      </c>
      <c r="Z121" s="136">
        <v>0</v>
      </c>
      <c r="AA121" s="136">
        <v>0</v>
      </c>
      <c r="AB121" s="136">
        <v>0</v>
      </c>
      <c r="AC121" s="136">
        <v>0</v>
      </c>
      <c r="AD121" s="136">
        <v>0</v>
      </c>
      <c r="AE121" s="136">
        <v>0</v>
      </c>
      <c r="AF121" s="136">
        <v>0</v>
      </c>
      <c r="AG121" s="136">
        <v>0</v>
      </c>
      <c r="AH121" s="136">
        <v>0</v>
      </c>
      <c r="AI121" s="136">
        <v>0</v>
      </c>
      <c r="AJ121" s="136">
        <v>0</v>
      </c>
      <c r="AK121" s="136">
        <v>0</v>
      </c>
      <c r="AL121" s="136">
        <v>0</v>
      </c>
      <c r="AM121" s="136">
        <v>0</v>
      </c>
      <c r="AN121" s="136">
        <v>0</v>
      </c>
      <c r="AO121" s="136">
        <v>0</v>
      </c>
      <c r="AP121" s="135">
        <v>0</v>
      </c>
    </row>
    <row r="122" spans="1:42">
      <c r="AP122" s="136"/>
    </row>
  </sheetData>
  <autoFilter ref="A1:AP114" xr:uid="{00000000-0001-0000-0100-000000000000}"/>
  <customSheetViews>
    <customSheetView guid="{07518316-F8A7-4EB0-947D-572D32265DD6}" filter="1" showAutoFilter="1">
      <pageMargins left="0.511811024" right="0.511811024" top="0.78740157499999996" bottom="0.78740157499999996" header="0.31496062000000002" footer="0.31496062000000002"/>
      <autoFilter ref="K2:K1093" xr:uid="{81B8854C-AC06-4AC2-8AD7-9CFE266EAEB3}"/>
    </customSheetView>
    <customSheetView guid="{1FE7E5D8-7F24-4EC5-B50B-B798FF734343}" filter="1" showAutoFilter="1">
      <pageMargins left="0.511811024" right="0.511811024" top="0.78740157499999996" bottom="0.78740157499999996" header="0.31496062000000002" footer="0.31496062000000002"/>
      <autoFilter ref="B2:AO1093" xr:uid="{30BA483A-C90B-4F71-B791-71128751F1D6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620506BD-90CB-4FFD-ADD6-EEFB9E05D2C2}" filter="1" showAutoFilter="1">
      <pageMargins left="0.511811024" right="0.511811024" top="0.78740157499999996" bottom="0.78740157499999996" header="0.31496062000000002" footer="0.31496062000000002"/>
      <autoFilter ref="A2:AU1084" xr:uid="{8FAF2865-735C-431A-88A2-302CEC4E5760}"/>
    </customSheetView>
    <customSheetView guid="{0BA908DD-2BB4-48DD-992D-A06F463B3C10}" filter="1" showAutoFilter="1">
      <pageMargins left="0.511811024" right="0.511811024" top="0.78740157499999996" bottom="0.78740157499999996" header="0.31496062000000002" footer="0.31496062000000002"/>
      <autoFilter ref="A2:AW1084" xr:uid="{34B54A14-BB7A-4FE5-A882-2704C6340C95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DFF4B50E-01D0-4A0A-B926-259FB09F099F}" filter="1" showAutoFilter="1">
      <pageMargins left="0.511811024" right="0.511811024" top="0.78740157499999996" bottom="0.78740157499999996" header="0.31496062000000002" footer="0.31496062000000002"/>
      <autoFilter ref="A1:AQ1088" xr:uid="{3833C687-1CBF-40D0-BD33-637208C32B80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70FA6B02-2DAC-44FB-9C02-C4F5C0E36D73}" filter="1" showAutoFilter="1">
      <pageMargins left="0.511811024" right="0.511811024" top="0.78740157499999996" bottom="0.78740157499999996" header="0.31496062000000002" footer="0.31496062000000002"/>
      <autoFilter ref="A1:AT1084" xr:uid="{721C0F9A-4767-41C7-838B-955E2E45D007}"/>
    </customSheetView>
    <customSheetView guid="{1CC9FC42-DA3F-4C4C-8D11-5290D572985F}" filter="1" showAutoFilter="1">
      <pageMargins left="0.511811024" right="0.511811024" top="0.78740157499999996" bottom="0.78740157499999996" header="0.31496062000000002" footer="0.31496062000000002"/>
      <autoFilter ref="AN2:AN1093" xr:uid="{964E857E-C7E9-4C20-A861-76A4EC312E68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D0D5036C-A5B8-48C9-99F2-3378B99CD86A}" filter="1" showAutoFilter="1">
      <pageMargins left="0.511811024" right="0.511811024" top="0.78740157499999996" bottom="0.78740157499999996" header="0.31496062000000002" footer="0.31496062000000002"/>
      <autoFilter ref="D2:F1093" xr:uid="{10B47E53-8671-4A7E-B878-F3D56E0CF742}"/>
    </customSheetView>
    <customSheetView guid="{1ACE75D4-78FB-433B-A252-49AC148C336D}" filter="1" showAutoFilter="1">
      <pageMargins left="0.511811024" right="0.511811024" top="0.78740157499999996" bottom="0.78740157499999996" header="0.31496062000000002" footer="0.31496062000000002"/>
      <autoFilter ref="B2:AN1088" xr:uid="{C97E63A5-2F62-493D-B9E5-8B82242B6BD0}"/>
    </customSheetView>
    <customSheetView guid="{32F40765-F481-472F-9579-B1764A204508}" filter="1" showAutoFilter="1">
      <pageMargins left="0.511811024" right="0.511811024" top="0.78740157499999996" bottom="0.78740157499999996" header="0.31496062000000002" footer="0.31496062000000002"/>
      <autoFilter ref="A1:AQ1088" xr:uid="{8F570FBC-B9F3-4150-9CA9-DBA4D02401E3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23EA29C-8E07-4455-925A-02BED419E6D8}" filter="1" showAutoFilter="1">
      <pageMargins left="0.511811024" right="0.511811024" top="0.78740157499999996" bottom="0.78740157499999996" header="0.31496062000000002" footer="0.31496062000000002"/>
      <autoFilter ref="A1:AW1084" xr:uid="{C56BBD28-49FC-4538-82E7-CA791D9A21B8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F5E5ED4E-DF60-4BBD-B24F-5EA09E18D40C}" filter="1" showAutoFilter="1">
      <pageMargins left="0.511811024" right="0.511811024" top="0.78740157499999996" bottom="0.78740157499999996" header="0.31496062000000002" footer="0.31496062000000002"/>
      <autoFilter ref="B2:AN1093" xr:uid="{77BF2CDE-90A9-4A16-83F2-5E3214407047}"/>
    </customSheetView>
    <customSheetView guid="{D0F7634C-C90D-415B-A49E-CA2B2308DD43}" filter="1" showAutoFilter="1">
      <pageMargins left="0.511811024" right="0.511811024" top="0.78740157499999996" bottom="0.78740157499999996" header="0.31496062000000002" footer="0.31496062000000002"/>
      <autoFilter ref="B2:AL1088" xr:uid="{187D830B-7388-4D4B-A01D-D0A213BAFF67}"/>
    </customSheetView>
    <customSheetView guid="{56AFD506-F86B-4274-811D-793BB20DD9D3}" filter="1" showAutoFilter="1">
      <pageMargins left="0.511811024" right="0.511811024" top="0.78740157499999996" bottom="0.78740157499999996" header="0.31496062000000002" footer="0.31496062000000002"/>
      <autoFilter ref="B2:AO1088" xr:uid="{603EE4E0-BADF-4553-852A-411849FC68F9}"/>
    </customSheetView>
    <customSheetView guid="{F0BD57BC-C164-490A-B83D-B897FA0D5D2A}" filter="1" showAutoFilter="1">
      <pageMargins left="0.511811024" right="0.511811024" top="0.78740157499999996" bottom="0.78740157499999996" header="0.31496062000000002" footer="0.31496062000000002"/>
      <autoFilter ref="J1:P1082" xr:uid="{EBAF3932-F8A9-473D-9F2A-C863F824ECC5}"/>
    </customSheetView>
    <customSheetView guid="{467CCEEF-C32B-435C-B4B4-C5C520204D0A}" filter="1" showAutoFilter="1">
      <pageMargins left="0.511811024" right="0.511811024" top="0.78740157499999996" bottom="0.78740157499999996" header="0.31496062000000002" footer="0.31496062000000002"/>
      <autoFilter ref="B2:AN1088" xr:uid="{E54BF8DD-887B-4C9D-BB90-5CA61F812F6C}"/>
    </customSheetView>
    <customSheetView guid="{E9B33F64-57CC-4836-8989-C37AFAD0A1A1}" filter="1" showAutoFilter="1">
      <pageMargins left="0.511811024" right="0.511811024" top="0.78740157499999996" bottom="0.78740157499999996" header="0.31496062000000002" footer="0.31496062000000002"/>
      <autoFilter ref="B2:AO1088" xr:uid="{1FFD6A5C-389A-4DF0-921E-90BFF72CF659}"/>
    </customSheetView>
    <customSheetView guid="{18202B43-11E2-4360-89B4-BC3A5A4F1DF4}" filter="1" showAutoFilter="1">
      <pageMargins left="0.511811024" right="0.511811024" top="0.78740157499999996" bottom="0.78740157499999996" header="0.31496062000000002" footer="0.31496062000000002"/>
      <autoFilter ref="A1:AT1084" xr:uid="{1A60308D-B186-41B8-9C17-65B904DB1F83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0729D9A8-3FDD-4208-913C-5898A32EB14C}" filter="1" showAutoFilter="1">
      <pageMargins left="0.511811024" right="0.511811024" top="0.78740157499999996" bottom="0.78740157499999996" header="0.31496062000000002" footer="0.31496062000000002"/>
      <autoFilter ref="A1:AV1084" xr:uid="{0FBE2CAE-3A1B-4710-BF02-AAADC0A9E8D4}"/>
    </customSheetView>
    <customSheetView guid="{CDB621C8-741E-4D49-A1A1-806831C1C801}" filter="1" showAutoFilter="1">
      <pageMargins left="0.511811024" right="0.511811024" top="0.78740157499999996" bottom="0.78740157499999996" header="0.31496062000000002" footer="0.31496062000000002"/>
      <autoFilter ref="A2:AW1084" xr:uid="{FEF9E827-7AC9-4DAE-A565-FF4AE309D3E5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1C95DF9-78F7-4F8B-91B8-C5B5126E595F}" filter="1" showAutoFilter="1">
      <pageMargins left="0.511811024" right="0.511811024" top="0.78740157499999996" bottom="0.78740157499999996" header="0.31496062000000002" footer="0.31496062000000002"/>
      <autoFilter ref="A2:AV1084" xr:uid="{ABDE4977-E775-4A96-93CE-1052BD8864F4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6756493F-515F-4BAD-99B9-4D4FD6DD7A9C}" filter="1" showAutoFilter="1">
      <pageMargins left="0.511811024" right="0.511811024" top="0.78740157499999996" bottom="0.78740157499999996" header="0.31496062000000002" footer="0.31496062000000002"/>
      <autoFilter ref="K2:K1093" xr:uid="{2223D9E0-9D40-47C5-8650-1218E86071E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D664E02-DE09-446D-8677-45A9E129B71A}" filter="1" showAutoFilter="1">
      <pageMargins left="0.511811024" right="0.511811024" top="0.78740157499999996" bottom="0.78740157499999996" header="0.31496062000000002" footer="0.31496062000000002"/>
      <autoFilter ref="A1:AV1084" xr:uid="{9C2343A9-A316-458F-AD2D-A298CDDA979A}">
        <filterColumn colId="24">
          <filters>
            <filter val="Inativo"/>
          </filters>
        </filterColumn>
      </autoFilter>
    </customSheetView>
    <customSheetView guid="{D864ABD8-FE0C-4DB1-AFBB-435365A1AFFA}" filter="1" showAutoFilter="1">
      <pageMargins left="0.511811024" right="0.511811024" top="0.78740157499999996" bottom="0.78740157499999996" header="0.31496062000000002" footer="0.31496062000000002"/>
      <autoFilter ref="F2:F1093" xr:uid="{DCC8E1AB-AEE2-40A2-9FC5-85D153326501}"/>
    </customSheetView>
    <customSheetView guid="{4940310E-44EC-4404-8E7A-3DB94229D3CC}" filter="1" showAutoFilter="1">
      <pageMargins left="0.511811024" right="0.511811024" top="0.78740157499999996" bottom="0.78740157499999996" header="0.31496062000000002" footer="0.31496062000000002"/>
      <autoFilter ref="A1:AT1093" xr:uid="{BA2ED9DF-59A6-4BA7-9DAE-B0BB98BA8B50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7A31FC72-E7F8-41D5-8003-370F116E4600}" filter="1" showAutoFilter="1">
      <pageMargins left="0.511811024" right="0.511811024" top="0.78740157499999996" bottom="0.78740157499999996" header="0.31496062000000002" footer="0.31496062000000002"/>
      <autoFilter ref="H1:I1086" xr:uid="{8B1E6155-201A-4804-9178-49817C423BC2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3D93ED61-EE7D-4D34-AA35-E3A99D2818CC}" filter="1" showAutoFilter="1">
      <pageMargins left="0.511811024" right="0.511811024" top="0.78740157499999996" bottom="0.78740157499999996" header="0.31496062000000002" footer="0.31496062000000002"/>
      <autoFilter ref="A1:AT1084" xr:uid="{42CA9AE6-5AC5-4385-99CC-612C5CC3CB5D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696FAB15-B4B8-48BE-8F83-E6C9E9CE8934}" filter="1" showAutoFilter="1">
      <pageMargins left="0.511811024" right="0.511811024" top="0.78740157499999996" bottom="0.78740157499999996" header="0.31496062000000002" footer="0.31496062000000002"/>
      <autoFilter ref="B2:AL1088" xr:uid="{187DE070-E52E-4DFD-AB2B-77503CB82F41}"/>
    </customSheetView>
    <customSheetView guid="{B41BF864-EE22-4CF9-8F54-DF9C2B01559F}" filter="1" showAutoFilter="1">
      <pageMargins left="0.511811024" right="0.511811024" top="0.78740157499999996" bottom="0.78740157499999996" header="0.31496062000000002" footer="0.31496062000000002"/>
      <autoFilter ref="B2:AL1088" xr:uid="{6588C9B0-6BDD-49A8-BC23-310EF5C5D1A7}"/>
    </customSheetView>
    <customSheetView guid="{498C8090-E789-4002-9AB4-7DA559970D1F}" filter="1" showAutoFilter="1">
      <pageMargins left="0.511811024" right="0.511811024" top="0.78740157499999996" bottom="0.78740157499999996" header="0.31496062000000002" footer="0.31496062000000002"/>
      <autoFilter ref="A1:AU1084" xr:uid="{6E3AAA54-BF21-4D57-9D8D-DC862FC826DC}">
        <filterColumn colId="24">
          <filters>
            <filter val="Ativo"/>
          </filters>
        </filterColumn>
      </autoFilter>
    </customSheetView>
    <customSheetView guid="{8AB9AFC6-AC70-4521-8BB0-1CD8767A0CB2}" filter="1" showAutoFilter="1">
      <pageMargins left="0.511811024" right="0.511811024" top="0.78740157499999996" bottom="0.78740157499999996" header="0.31496062000000002" footer="0.31496062000000002"/>
      <autoFilter ref="A1:AU1084" xr:uid="{E68BAB6C-FD7D-475F-BDED-49784BFD909C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6739707D-6665-4B91-A403-33028D89D80B}" filter="1" showAutoFilter="1">
      <pageMargins left="0.511811024" right="0.511811024" top="0.78740157499999996" bottom="0.78740157499999996" header="0.31496062000000002" footer="0.31496062000000002"/>
      <autoFilter ref="Q2:Q1093" xr:uid="{B51BF72D-A483-4834-BB5B-C680D38526DE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00AA877A-D943-4DEE-A9D0-0327E6881B5D}" filter="1" showAutoFilter="1">
      <pageMargins left="0.511811024" right="0.511811024" top="0.78740157499999996" bottom="0.78740157499999996" header="0.31496062000000002" footer="0.31496062000000002"/>
      <autoFilter ref="B2:AO1088" xr:uid="{932FF64C-F257-4F1E-8CB9-6D15D7DB35B2}"/>
    </customSheetView>
    <customSheetView guid="{F6E4F345-0495-4811-B173-87C625079C9E}" filter="1" showAutoFilter="1">
      <pageMargins left="0.511811024" right="0.511811024" top="0.78740157499999996" bottom="0.78740157499999996" header="0.31496062000000002" footer="0.31496062000000002"/>
      <autoFilter ref="K2:K1093" xr:uid="{094BCA49-AB13-4000-A7B5-D0BA46A98BA4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F2CCAF3-97EF-4C30-8A9B-B6C17B3875D4}" filter="1" showAutoFilter="1">
      <pageMargins left="0.511811024" right="0.511811024" top="0.78740157499999996" bottom="0.78740157499999996" header="0.31496062000000002" footer="0.31496062000000002"/>
      <autoFilter ref="A2:AW1084" xr:uid="{BA4AECD5-CB56-4960-97AB-E209CA8E5919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EC630380-4E32-463C-A081-3FD6E39B14D4}" filter="1" showAutoFilter="1">
      <pageMargins left="0.511811024" right="0.511811024" top="0.78740157499999996" bottom="0.78740157499999996" header="0.31496062000000002" footer="0.31496062000000002"/>
      <autoFilter ref="A2:AU1084" xr:uid="{976E77E9-D8A0-4AF2-A258-EDE277CC5D2A}"/>
    </customSheetView>
    <customSheetView guid="{42D21524-78A6-48BE-B817-2DEE65E174F2}" filter="1" showAutoFilter="1">
      <pageMargins left="0.511811024" right="0.511811024" top="0.78740157499999996" bottom="0.78740157499999996" header="0.31496062000000002" footer="0.31496062000000002"/>
      <autoFilter ref="A2:AV1084" xr:uid="{043A8830-3E7C-4FF3-B27D-22D3E78F6A12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8D824072-7468-4CA8-93C5-C695445D9E65}" filter="1" showAutoFilter="1">
      <pageMargins left="0.511811024" right="0.511811024" top="0.78740157499999996" bottom="0.78740157499999996" header="0.31496062000000002" footer="0.31496062000000002"/>
      <autoFilter ref="A1:AV1084" xr:uid="{7A91E4E0-4E0D-490C-A1B6-42DAF01E3B7F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.511811024" right="0.511811024" top="0.78740157499999996" bottom="0.78740157499999996" header="0.31496062000000002" footer="0.31496062000000002"/>
      <autoFilter ref="A1:AT1084" xr:uid="{30715A19-F3EC-4F13-86AA-4F41FA18B05C}"/>
    </customSheetView>
    <customSheetView guid="{6C0BBECD-A50F-4906-B232-F202421F246E}" filter="1" showAutoFilter="1">
      <pageMargins left="0.511811024" right="0.511811024" top="0.78740157499999996" bottom="0.78740157499999996" header="0.31496062000000002" footer="0.31496062000000002"/>
      <autoFilter ref="A1:AU1084" xr:uid="{6A35EC42-51F2-4E94-AE5A-CF597D08A867}">
        <filterColumn colId="24">
          <filters>
            <filter val="Inativo"/>
          </filters>
        </filterColumn>
      </autoFilter>
    </customSheetView>
    <customSheetView guid="{A2DA313D-541E-4594-B799-3E48419A20BA}" filter="1" showAutoFilter="1">
      <pageMargins left="0.511811024" right="0.511811024" top="0.78740157499999996" bottom="0.78740157499999996" header="0.31496062000000002" footer="0.31496062000000002"/>
      <autoFilter ref="A2:AV1084" xr:uid="{73271810-9F56-4FD5-AAE9-52427BEB00E9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E22319CF-3753-47A5-B289-E2A97398BB8E}" filter="1" showAutoFilter="1">
      <pageMargins left="0.511811024" right="0.511811024" top="0.78740157499999996" bottom="0.78740157499999996" header="0.31496062000000002" footer="0.31496062000000002"/>
      <autoFilter ref="B2:AO1088" xr:uid="{03DA7BC2-E73C-4299-B6AC-AE3C5E95798A}"/>
    </customSheetView>
    <customSheetView guid="{11E82F7A-A513-409C-8889-85D2D04EAA93}" filter="1" showAutoFilter="1">
      <pageMargins left="0.511811024" right="0.511811024" top="0.78740157499999996" bottom="0.78740157499999996" header="0.31496062000000002" footer="0.31496062000000002"/>
      <autoFilter ref="B2:AN1088" xr:uid="{DE5CE474-A512-4241-8315-EBBF9A75BBDB}"/>
    </customSheetView>
    <customSheetView guid="{F15FF684-7769-4505-B2AB-70888CAB489D}" filter="1" showAutoFilter="1">
      <pageMargins left="0.511811024" right="0.511811024" top="0.78740157499999996" bottom="0.78740157499999996" header="0.31496062000000002" footer="0.31496062000000002"/>
      <autoFilter ref="F2:F1093" xr:uid="{49390A61-71DA-4FBD-B00F-F32864AE1E46}"/>
    </customSheetView>
    <customSheetView guid="{80059556-C04D-4F8A-85F1-6777B5AF0DDA}" filter="1" showAutoFilter="1">
      <pageMargins left="0.511811024" right="0.511811024" top="0.78740157499999996" bottom="0.78740157499999996" header="0.31496062000000002" footer="0.31496062000000002"/>
      <autoFilter ref="K2:K1093" xr:uid="{695F2FE1-1483-470E-92DC-0BE1CBF99878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E98C523-16C4-4799-B5C7-2FECDEAA3594}" filter="1" showAutoFilter="1">
      <pageMargins left="0.511811024" right="0.511811024" top="0.78740157499999996" bottom="0.78740157499999996" header="0.31496062000000002" footer="0.31496062000000002"/>
      <autoFilter ref="A1:AW1084" xr:uid="{FDC323FA-8F01-48AD-8AA0-99AA9D0EA31E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DB05EF65-D7B5-4DD6-8F09-01BC4E20BF15}" filter="1" showAutoFilter="1">
      <pageMargins left="0.511811024" right="0.511811024" top="0.78740157499999996" bottom="0.78740157499999996" header="0.31496062000000002" footer="0.31496062000000002"/>
      <autoFilter ref="A2:AU1084" xr:uid="{C0EED9C6-67EC-40F7-BB28-9906323D9742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E5ACC8C-CE46-4BA3-BF00-8C87FFA2314F}" filter="1" showAutoFilter="1">
      <pageMargins left="0.511811024" right="0.511811024" top="0.78740157499999996" bottom="0.78740157499999996" header="0.31496062000000002" footer="0.31496062000000002"/>
      <autoFilter ref="B2:AO1088" xr:uid="{23E1B0DA-366E-49CD-8481-2FCD498D2B5C}"/>
    </customSheetView>
    <customSheetView guid="{14F2BC0A-D0DC-4C31-B463-CFE61D5BFA16}" filter="1" showAutoFilter="1">
      <pageMargins left="0.511811024" right="0.511811024" top="0.78740157499999996" bottom="0.78740157499999996" header="0.31496062000000002" footer="0.31496062000000002"/>
      <autoFilter ref="K2:L1093" xr:uid="{0D908C23-4BF2-40E1-A703-D2B9916FEBDD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C1014A19-3732-468D-8008-9FAAA22884BA}" filter="1" showAutoFilter="1">
      <pageMargins left="0.511811024" right="0.511811024" top="0.78740157499999996" bottom="0.78740157499999996" header="0.31496062000000002" footer="0.31496062000000002"/>
      <autoFilter ref="A1:AU1084" xr:uid="{4BA9051E-41DE-4A86-B162-E7A29BA0698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8BEEF85-2E21-4F6B-AD21-18C6672F750C}" filter="1" showAutoFilter="1">
      <pageMargins left="0.511811024" right="0.511811024" top="0.78740157499999996" bottom="0.78740157499999996" header="0.31496062000000002" footer="0.31496062000000002"/>
      <autoFilter ref="A1:AR1093" xr:uid="{DBF43943-6C35-483C-BD63-8904B2493557}"/>
    </customSheetView>
    <customSheetView guid="{F7A696CE-1C08-47AC-97AB-04922766D35D}" filter="1" showAutoFilter="1">
      <pageMargins left="0.511811024" right="0.511811024" top="0.78740157499999996" bottom="0.78740157499999996" header="0.31496062000000002" footer="0.31496062000000002"/>
      <autoFilter ref="AG2:AG1093" xr:uid="{2E98FA6D-D9C9-492E-9FBD-ACC3F6BFDAEC}"/>
    </customSheetView>
    <customSheetView guid="{423FEFF5-1271-4E5E-909E-F26C45E4687E}" filter="1" showAutoFilter="1">
      <pageMargins left="0.511811024" right="0.511811024" top="0.78740157499999996" bottom="0.78740157499999996" header="0.31496062000000002" footer="0.31496062000000002"/>
      <autoFilter ref="A1:AR1093" xr:uid="{0AB21324-FA56-4A10-AA33-4BC0AA32BC79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09D69132-6565-4C75-B6C1-799CDAE8D0C1}" filter="1" showAutoFilter="1">
      <pageMargins left="0.511811024" right="0.511811024" top="0.78740157499999996" bottom="0.78740157499999996" header="0.31496062000000002" footer="0.31496062000000002"/>
      <autoFilter ref="A1:AR1084" xr:uid="{72F73F74-7098-40C9-AC8F-8DA0A07322A0}"/>
    </customSheetView>
    <customSheetView guid="{1D2CBD60-F563-4C95-AD64-98422B83043F}" filter="1" showAutoFilter="1">
      <pageMargins left="0.511811024" right="0.511811024" top="0.78740157499999996" bottom="0.78740157499999996" header="0.31496062000000002" footer="0.31496062000000002"/>
      <autoFilter ref="A1:AQ1088" xr:uid="{0E1EC077-7D2E-445A-9337-2D5B9C87AE74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3E739D3D-4612-4A7D-B065-193217A121C9}" filter="1" showAutoFilter="1">
      <pageMargins left="0.511811024" right="0.511811024" top="0.78740157499999996" bottom="0.78740157499999996" header="0.31496062000000002" footer="0.31496062000000002"/>
      <autoFilter ref="A2:AW1084" xr:uid="{F883E345-0CF4-4E3C-9213-549BFF35AB65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.511811024" right="0.511811024" top="0.78740157499999996" bottom="0.78740157499999996" header="0.31496062000000002" footer="0.31496062000000002"/>
      <autoFilter ref="K2:K1093" xr:uid="{5F250631-D428-40D2-9CED-28594C02A7C2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88E135A6-EC14-4A9F-8810-3E1BF8B05913}" filter="1" showAutoFilter="1">
      <pageMargins left="0.511811024" right="0.511811024" top="0.78740157499999996" bottom="0.78740157499999996" header="0.31496062000000002" footer="0.31496062000000002"/>
      <autoFilter ref="A1:AW1084" xr:uid="{0BD96334-FECA-4F89-91D7-91449836D571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7F512548-DCD4-41A0-81C1-C8D0EAF11021}" filter="1" showAutoFilter="1">
      <pageMargins left="0.511811024" right="0.511811024" top="0.78740157499999996" bottom="0.78740157499999996" header="0.31496062000000002" footer="0.31496062000000002"/>
      <autoFilter ref="E2:F1093" xr:uid="{E9BDEF2E-AF7B-42D3-8B3E-AD480978BBA9}"/>
    </customSheetView>
    <customSheetView guid="{165CC5BD-C6DE-42CC-8EC5-314C1EF5C23C}" filter="1" showAutoFilter="1">
      <pageMargins left="0.511811024" right="0.511811024" top="0.78740157499999996" bottom="0.78740157499999996" header="0.31496062000000002" footer="0.31496062000000002"/>
      <autoFilter ref="A1:AW1088" xr:uid="{1FE227D4-F4BF-44C2-AD53-BEA2F91BF1A5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1169A2-F31B-474D-9D8B-B51D22A5564E}" filter="1" showAutoFilter="1">
      <pageMargins left="0.511811024" right="0.511811024" top="0.78740157499999996" bottom="0.78740157499999996" header="0.31496062000000002" footer="0.31496062000000002"/>
      <autoFilter ref="A1:AU1084" xr:uid="{E7F652C8-559D-4EF0-84C7-770F0310FFD7}">
        <filterColumn colId="24">
          <filters>
            <filter val="Inativo"/>
          </filters>
        </filterColumn>
      </autoFilter>
    </customSheetView>
    <customSheetView guid="{AEA42E9C-6B35-4C80-9D55-A52D57DB8C78}" filter="1" showAutoFilter="1">
      <pageMargins left="0.511811024" right="0.511811024" top="0.78740157499999996" bottom="0.78740157499999996" header="0.31496062000000002" footer="0.31496062000000002"/>
      <autoFilter ref="A1:AW1084" xr:uid="{379B1BBC-B790-4066-825A-CA0F834FE076}">
        <filterColumn colId="7">
          <filters>
            <filter val="Pode Operar"/>
          </filters>
        </filterColumn>
      </autoFilter>
    </customSheetView>
    <customSheetView guid="{AFAE9C81-BEC7-4E49-B430-378A11A40202}" filter="1" showAutoFilter="1">
      <pageMargins left="0.511811024" right="0.511811024" top="0.78740157499999996" bottom="0.78740157499999996" header="0.31496062000000002" footer="0.31496062000000002"/>
      <autoFilter ref="A1:AU1084" xr:uid="{C684C131-E474-4B08-BF4E-649A80BB6CEB}"/>
    </customSheetView>
    <customSheetView guid="{73A11926-2E6F-4871-B727-3B1A920B8A61}" filter="1" showAutoFilter="1">
      <pageMargins left="0.511811024" right="0.511811024" top="0.78740157499999996" bottom="0.78740157499999996" header="0.31496062000000002" footer="0.31496062000000002"/>
      <autoFilter ref="A1:AR1093" xr:uid="{22E032A2-A6C8-4FBF-AFC7-6359EE943C2F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06A8CEB-8F34-47AC-96B0-B61FE8609ACF}" filter="1" showAutoFilter="1">
      <pageMargins left="0.511811024" right="0.511811024" top="0.78740157499999996" bottom="0.78740157499999996" header="0.31496062000000002" footer="0.31496062000000002"/>
      <autoFilter ref="A1:AR1093" xr:uid="{4F0D2A0A-F6C5-4458-B278-8489B4542E5F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627C91B2-712F-4DFB-B495-28BCEA46E4E2}" filter="1" showAutoFilter="1">
      <pageMargins left="0.511811024" right="0.511811024" top="0.78740157499999996" bottom="0.78740157499999996" header="0.31496062000000002" footer="0.31496062000000002"/>
      <autoFilter ref="A1:AU1084" xr:uid="{67920B61-1A30-41AC-85D5-963E07141C6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7BB50BF-5891-4898-9F00-C079F37784D8}" filter="1" showAutoFilter="1">
      <pageMargins left="0.511811024" right="0.511811024" top="0.78740157499999996" bottom="0.78740157499999996" header="0.31496062000000002" footer="0.31496062000000002"/>
      <autoFilter ref="A1:AU1084" xr:uid="{029D0FE1-C9B7-4FD8-81E4-60BB923FDF7F}"/>
    </customSheetView>
    <customSheetView guid="{7F00D025-E5E3-42AA-BA25-4210D64EDAFB}" filter="1" showAutoFilter="1">
      <pageMargins left="0.511811024" right="0.511811024" top="0.78740157499999996" bottom="0.78740157499999996" header="0.31496062000000002" footer="0.31496062000000002"/>
      <autoFilter ref="B2:AO1088" xr:uid="{E2FD5D48-35DA-4D7C-B160-8377C78D5771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7B1ED787-A94E-4CE6-A02D-6B7249291FB8}" filter="1" showAutoFilter="1">
      <pageMargins left="0.511811024" right="0.511811024" top="0.78740157499999996" bottom="0.78740157499999996" header="0.31496062000000002" footer="0.31496062000000002"/>
      <autoFilter ref="A1:AW1088" xr:uid="{DD1D3B13-BF8D-4C54-A0C0-87FD29A02D6C}">
        <filterColumn colId="7">
          <filters blank="1">
            <filter val="Ativo"/>
          </filters>
        </filterColumn>
      </autoFilter>
    </customSheetView>
    <customSheetView guid="{4CBC865C-9949-4E80-A3AA-F2F06539A76B}" filter="1" showAutoFilter="1">
      <pageMargins left="0.511811024" right="0.511811024" top="0.78740157499999996" bottom="0.78740157499999996" header="0.31496062000000002" footer="0.31496062000000002"/>
      <autoFilter ref="D2:F1093" xr:uid="{EC077DDE-EC42-40AE-9D75-FCFDCB1F9972}"/>
    </customSheetView>
    <customSheetView guid="{BF6FEDB4-E2FA-48B7-9DA6-BC7F490B0477}" filter="1" showAutoFilter="1">
      <pageMargins left="0.511811024" right="0.511811024" top="0.78740157499999996" bottom="0.78740157499999996" header="0.31496062000000002" footer="0.31496062000000002"/>
      <autoFilter ref="A1:AW1084" xr:uid="{30E02BCB-2CF4-4FBF-8DFC-F3F2EF6D05A3}"/>
    </customSheetView>
    <customSheetView guid="{B687DF64-BC4A-4A5E-86C9-AD317BE257F3}" filter="1" showAutoFilter="1">
      <pageMargins left="0.511811024" right="0.511811024" top="0.78740157499999996" bottom="0.78740157499999996" header="0.31496062000000002" footer="0.31496062000000002"/>
      <autoFilter ref="A1:AW1084" xr:uid="{5FA71EA8-FCE8-4FD8-BA70-19FD98C43C38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A45E3B99-1ACB-4EBC-B2F2-64674F11650A}" filter="1" showAutoFilter="1">
      <pageMargins left="0.511811024" right="0.511811024" top="0.78740157499999996" bottom="0.78740157499999996" header="0.31496062000000002" footer="0.31496062000000002"/>
      <autoFilter ref="A1:AQ1088" xr:uid="{D3408220-A5B3-402F-B834-989041C7BA72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211F3C5-E62E-499E-8F63-245DA1931F27}" filter="1" showAutoFilter="1">
      <pageMargins left="0.511811024" right="0.511811024" top="0.78740157499999996" bottom="0.78740157499999996" header="0.31496062000000002" footer="0.31496062000000002"/>
      <autoFilter ref="F2:F1093" xr:uid="{2240C2AD-02AE-4D4B-A9D8-550323F9147B}"/>
    </customSheetView>
    <customSheetView guid="{BE2B38C5-3A4C-41A6-B1CE-C5BD1A554CE1}" filter="1" showAutoFilter="1">
      <pageMargins left="0.511811024" right="0.511811024" top="0.78740157499999996" bottom="0.78740157499999996" header="0.31496062000000002" footer="0.31496062000000002"/>
      <autoFilter ref="B2:AN1088" xr:uid="{290EAE6D-D26E-4411-960F-29C5318E1BBA}"/>
    </customSheetView>
    <customSheetView guid="{190E4C1F-122C-47B6-9AB6-5AD0DE5AE794}" filter="1" showAutoFilter="1">
      <pageMargins left="0.511811024" right="0.511811024" top="0.78740157499999996" bottom="0.78740157499999996" header="0.31496062000000002" footer="0.31496062000000002"/>
      <autoFilter ref="A1:BM1088" xr:uid="{57CF4A40-EFD6-40FD-AF43-32B0E3C0B2E1}"/>
    </customSheetView>
    <customSheetView guid="{93FFEBAE-581D-40DB-8965-BE5241E39C63}" filter="1" showAutoFilter="1">
      <pageMargins left="0.511811024" right="0.511811024" top="0.78740157499999996" bottom="0.78740157499999996" header="0.31496062000000002" footer="0.31496062000000002"/>
      <autoFilter ref="B2:Q1088" xr:uid="{0A16AF04-5544-42B9-9CD1-244477CFAD65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A99246DD-EFB6-438F-9F56-C45BAF1CE7A6}" filter="1" showAutoFilter="1">
      <pageMargins left="0.511811024" right="0.511811024" top="0.78740157499999996" bottom="0.78740157499999996" header="0.31496062000000002" footer="0.31496062000000002"/>
      <autoFilter ref="A1:AU1084" xr:uid="{FBDD2FC1-E168-456F-84F3-2DF8225E7709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A18543D-75F5-4396-A6BE-06A25F435576}" filter="1" showAutoFilter="1">
      <pageMargins left="0.511811024" right="0.511811024" top="0.78740157499999996" bottom="0.78740157499999996" header="0.31496062000000002" footer="0.31496062000000002"/>
      <autoFilter ref="M2:M1093" xr:uid="{310FBA6F-126A-4A0C-8530-3AA1CC4D57EA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0B546EB-9509-40DA-A60B-298EBFE4E59D}" filter="1" showAutoFilter="1">
      <pageMargins left="0.511811024" right="0.511811024" top="0.78740157499999996" bottom="0.78740157499999996" header="0.31496062000000002" footer="0.31496062000000002"/>
      <autoFilter ref="A1:AV1084" xr:uid="{43343004-7039-48DE-A2B3-F9D65C967631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4D7C0ACA-4002-4014-B735-851D9875261D}" filter="1" showAutoFilter="1">
      <pageMargins left="0.511811024" right="0.511811024" top="0.78740157499999996" bottom="0.78740157499999996" header="0.31496062000000002" footer="0.31496062000000002"/>
      <autoFilter ref="B2:AO1088" xr:uid="{5C4C7065-F664-4CDA-AF6B-5B0A7A5F33C4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C2A9D44-625D-4777-81CF-B348B418D6A2}" filter="1" showAutoFilter="1">
      <pageMargins left="0.511811024" right="0.511811024" top="0.78740157499999996" bottom="0.78740157499999996" header="0.31496062000000002" footer="0.31496062000000002"/>
      <autoFilter ref="D2:AN1093" xr:uid="{4DE3C19F-3A83-4F3D-A32A-FACBE3E7EBD8}"/>
    </customSheetView>
    <customSheetView guid="{B1825302-A70B-43EF-8B49-193DD91BCFC3}" filter="1" showAutoFilter="1">
      <pageMargins left="0.511811024" right="0.511811024" top="0.78740157499999996" bottom="0.78740157499999996" header="0.31496062000000002" footer="0.31496062000000002"/>
      <autoFilter ref="A1:AQ1088" xr:uid="{3EFAA217-420E-4B50-B789-0AC2266DA1D4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2ACEDE0F-F9B4-496A-AEDF-A3455844D0F1}" filter="1" showAutoFilter="1">
      <pageMargins left="0.511811024" right="0.511811024" top="0.78740157499999996" bottom="0.78740157499999996" header="0.31496062000000002" footer="0.31496062000000002"/>
      <autoFilter ref="D2:K1093" xr:uid="{69ADA775-17B8-4BD2-A2BF-892E211FBDB4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4DA35F3-A183-4043-B5A3-CCE9C654A418}" filter="1" showAutoFilter="1">
      <pageMargins left="0.511811024" right="0.511811024" top="0.78740157499999996" bottom="0.78740157499999996" header="0.31496062000000002" footer="0.31496062000000002"/>
      <autoFilter ref="B2:AO1088" xr:uid="{C66794C3-F54F-40A3-A45C-74DE04A21EC5}"/>
    </customSheetView>
    <customSheetView guid="{93AB8B81-5F98-4284-B06A-D7CE72815A11}" filter="1" showAutoFilter="1">
      <pageMargins left="0.511811024" right="0.511811024" top="0.78740157499999996" bottom="0.78740157499999996" header="0.31496062000000002" footer="0.31496062000000002"/>
      <autoFilter ref="B2:AN1088" xr:uid="{09996B7D-54C8-43D6-A1ED-38029B30B281}"/>
    </customSheetView>
    <customSheetView guid="{1A2D0BEE-A1E7-4868-B0E7-2299906D2EC9}" filter="1" showAutoFilter="1">
      <pageMargins left="0.511811024" right="0.511811024" top="0.78740157499999996" bottom="0.78740157499999996" header="0.31496062000000002" footer="0.31496062000000002"/>
      <autoFilter ref="A1:AW1084" xr:uid="{268871F3-E350-4624-82CA-A7DBD2D76C39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48357F01-1856-4FCF-9F08-FCDE56A2D44A}" filter="1" showAutoFilter="1">
      <pageMargins left="0.511811024" right="0.511811024" top="0.78740157499999996" bottom="0.78740157499999996" header="0.31496062000000002" footer="0.31496062000000002"/>
      <autoFilter ref="F2:AN1093" xr:uid="{24D83D98-0535-448B-985A-26B80C697763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6A9A4AFA-3A97-4345-9DC1-B2430F067760}" filter="1" showAutoFilter="1">
      <pageMargins left="0.511811024" right="0.511811024" top="0.78740157499999996" bottom="0.78740157499999996" header="0.31496062000000002" footer="0.31496062000000002"/>
      <autoFilter ref="A1:AR1093" xr:uid="{97B435F4-3B8E-45AD-BED2-822A3F151E3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5CDCABD2-B796-4544-A3DF-EA95C60E83B1}" filter="1" showAutoFilter="1">
      <pageMargins left="0.511811024" right="0.511811024" top="0.78740157499999996" bottom="0.78740157499999996" header="0.31496062000000002" footer="0.31496062000000002"/>
      <autoFilter ref="A2:AW1084" xr:uid="{6AF9BA4E-6436-4B55-A8BC-36770CD4F779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D88A4E9B-48B4-4051-9559-DAF3073B092E}" filter="1" showAutoFilter="1">
      <pageMargins left="0.511811024" right="0.511811024" top="0.78740157499999996" bottom="0.78740157499999996" header="0.31496062000000002" footer="0.31496062000000002"/>
      <autoFilter ref="A2:AV1084" xr:uid="{4F95F90A-04F1-4328-B440-F0865743E3C9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D6C27E9A-598C-47F2-8F3D-83A50A107790}" filter="1" showAutoFilter="1">
      <pageMargins left="0.511811024" right="0.511811024" top="0.78740157499999996" bottom="0.78740157499999996" header="0.31496062000000002" footer="0.31496062000000002"/>
      <autoFilter ref="A1:AQ1088" xr:uid="{84981BA0-0615-4CC1-AE96-A13E1BD995DE}"/>
    </customSheetView>
    <customSheetView guid="{FEAC60D3-C159-415D-937A-4EAACDD63294}" filter="1" showAutoFilter="1">
      <pageMargins left="0.511811024" right="0.511811024" top="0.78740157499999996" bottom="0.78740157499999996" header="0.31496062000000002" footer="0.31496062000000002"/>
      <autoFilter ref="D2:F1093" xr:uid="{99EF0FEB-A698-4BF5-AD9A-849FAB918F06}"/>
    </customSheetView>
    <customSheetView guid="{B7CD9EB0-1531-40C7-9620-5B58C4DE4619}" filter="1" showAutoFilter="1">
      <pageMargins left="0.511811024" right="0.511811024" top="0.78740157499999996" bottom="0.78740157499999996" header="0.31496062000000002" footer="0.31496062000000002"/>
      <autoFilter ref="AW9:AW1080" xr:uid="{7D7D89E7-0FCD-485A-A64A-F5BCA1F53FDA}"/>
    </customSheetView>
    <customSheetView guid="{6C4E81CA-32B3-4BD4-9A1C-F20FF8B924A7}" filter="1" showAutoFilter="1">
      <pageMargins left="0.511811024" right="0.511811024" top="0.78740157499999996" bottom="0.78740157499999996" header="0.31496062000000002" footer="0.31496062000000002"/>
      <autoFilter ref="B2:AN1088" xr:uid="{586F2407-2963-4F8A-B2CD-778A303EBC06}"/>
    </customSheetView>
    <customSheetView guid="{B36BCCD7-3E96-42EF-956F-39C1E1AA82D7}" filter="1" showAutoFilter="1">
      <pageMargins left="0.511811024" right="0.511811024" top="0.78740157499999996" bottom="0.78740157499999996" header="0.31496062000000002" footer="0.31496062000000002"/>
      <autoFilter ref="B2:AL1088" xr:uid="{9BB9EE10-274A-4CC6-9E61-7EF7D6AF8098}"/>
    </customSheetView>
    <customSheetView guid="{FFF3EAAB-FE87-47E6-83D5-BE12890C325F}" filter="1" showAutoFilter="1">
      <pageMargins left="0.511811024" right="0.511811024" top="0.78740157499999996" bottom="0.78740157499999996" header="0.31496062000000002" footer="0.31496062000000002"/>
      <autoFilter ref="A2:AW1084" xr:uid="{778B342F-20D4-4D78-979D-89A08372CE84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A94C9867-6E9C-4996-98EE-31E34F1A6290}" filter="1" showAutoFilter="1">
      <pageMargins left="0.511811024" right="0.511811024" top="0.78740157499999996" bottom="0.78740157499999996" header="0.31496062000000002" footer="0.31496062000000002"/>
      <autoFilter ref="A1:AQ1088" xr:uid="{3B5ADCF6-E825-41F8-B6B8-FF79B565EC59}"/>
    </customSheetView>
    <customSheetView guid="{877073CE-EDC5-4AE1-A62C-A28AC7A7A477}" filter="1" showAutoFilter="1">
      <pageMargins left="0.511811024" right="0.511811024" top="0.78740157499999996" bottom="0.78740157499999996" header="0.31496062000000002" footer="0.31496062000000002"/>
      <autoFilter ref="A1:AT1084" xr:uid="{C73EAD8A-6995-40E9-8BDB-DEF421FDB468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55B42B10-8863-42F1-AE98-5DFC66B0599C}" filter="1" showAutoFilter="1">
      <pageMargins left="0.511811024" right="0.511811024" top="0.78740157499999996" bottom="0.78740157499999996" header="0.31496062000000002" footer="0.31496062000000002"/>
      <autoFilter ref="B2:AO1088" xr:uid="{BED98FE0-E799-4AE2-BDE3-A4D4750F1DF1}"/>
    </customSheetView>
    <customSheetView guid="{9F819FDD-0727-4581-B42E-FBB6FF5FA047}" filter="1" showAutoFilter="1">
      <pageMargins left="0.511811024" right="0.511811024" top="0.78740157499999996" bottom="0.78740157499999996" header="0.31496062000000002" footer="0.31496062000000002"/>
      <autoFilter ref="A1:AU1084" xr:uid="{29B5CA52-645C-4F74-87E0-6FCB87D91BF0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0B99A06-0585-42AE-A3FC-8AB03D179DE1}" filter="1" showAutoFilter="1">
      <pageMargins left="0.511811024" right="0.511811024" top="0.78740157499999996" bottom="0.78740157499999996" header="0.31496062000000002" footer="0.31496062000000002"/>
      <autoFilter ref="A1:AR1093" xr:uid="{43F03A1E-C7F0-45D8-A66C-BBA59C2DB717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1B54CF81-2EE6-41A0-8DAF-9EC2BA627E83}" filter="1" showAutoFilter="1">
      <pageMargins left="0.511811024" right="0.511811024" top="0.78740157499999996" bottom="0.78740157499999996" header="0.31496062000000002" footer="0.31496062000000002"/>
      <autoFilter ref="A2:AV1084" xr:uid="{45F5F519-3ADE-45E8-95FE-94004D24ABA9}"/>
    </customSheetView>
    <customSheetView guid="{61A21088-D231-4D60-92A9-DD2E208C52FC}" filter="1" showAutoFilter="1">
      <pageMargins left="0.511811024" right="0.511811024" top="0.78740157499999996" bottom="0.78740157499999996" header="0.31496062000000002" footer="0.31496062000000002"/>
      <autoFilter ref="F2:F1093" xr:uid="{41CCE7E4-235D-4FCD-AFAA-14F5A4E6389E}"/>
    </customSheetView>
    <customSheetView guid="{8512D509-BB82-4790-B030-E04796825D6B}" filter="1" showAutoFilter="1">
      <pageMargins left="0.511811024" right="0.511811024" top="0.78740157499999996" bottom="0.78740157499999996" header="0.31496062000000002" footer="0.31496062000000002"/>
      <autoFilter ref="B2:AL1088" xr:uid="{AC0B867D-9F0B-4909-BBAB-C4A77284BF7F}"/>
    </customSheetView>
    <customSheetView guid="{31229629-4FD1-448B-A266-475AA52A7FB8}" filter="1" showAutoFilter="1">
      <pageMargins left="0.511811024" right="0.511811024" top="0.78740157499999996" bottom="0.78740157499999996" header="0.31496062000000002" footer="0.31496062000000002"/>
      <autoFilter ref="D2:F1093" xr:uid="{9CB2877E-7012-4707-9212-257006BDCDD2}"/>
    </customSheetView>
    <customSheetView guid="{0C29AC0F-29EE-43E2-A3A9-238CF9B4E828}" filter="1" showAutoFilter="1">
      <pageMargins left="0.511811024" right="0.511811024" top="0.78740157499999996" bottom="0.78740157499999996" header="0.31496062000000002" footer="0.31496062000000002"/>
      <autoFilter ref="A2:AW1084" xr:uid="{38D310E5-EA42-4960-A8A2-0AF5D8A7B210}">
        <filterColumn colId="7">
          <filters>
            <filter val="Pode Operar"/>
          </filters>
        </filterColumn>
      </autoFilter>
    </customSheetView>
    <customSheetView guid="{DD94A016-46C8-4460-B1C1-C762909060C1}" filter="1" showAutoFilter="1">
      <pageMargins left="0.511811024" right="0.511811024" top="0.78740157499999996" bottom="0.78740157499999996" header="0.31496062000000002" footer="0.31496062000000002"/>
      <autoFilter ref="A1:AU1084" xr:uid="{2E8E68D8-7FC2-4BD8-9006-131D23EEB0F6}"/>
    </customSheetView>
    <customSheetView guid="{81931677-6684-49E1-A5A6-0E1E7ADF1EED}" filter="1" showAutoFilter="1">
      <pageMargins left="0.511811024" right="0.511811024" top="0.78740157499999996" bottom="0.78740157499999996" header="0.31496062000000002" footer="0.31496062000000002"/>
      <autoFilter ref="B2:AP1088" xr:uid="{75005230-A889-4715-BBB6-657D64BD508C}"/>
    </customSheetView>
    <customSheetView guid="{E7A70FCC-EA4E-40D5-9DDC-E30CAAA6A5E9}" filter="1" showAutoFilter="1">
      <pageMargins left="0.511811024" right="0.511811024" top="0.78740157499999996" bottom="0.78740157499999996" header="0.31496062000000002" footer="0.31496062000000002"/>
      <autoFilter ref="B2:AO1088" xr:uid="{4F5D452D-7D75-4CC2-A247-97F013A36E85}"/>
    </customSheetView>
    <customSheetView guid="{BB685961-18A5-4353-B9CA-C99E3035439C}" filter="1" showAutoFilter="1">
      <pageMargins left="0.511811024" right="0.511811024" top="0.78740157499999996" bottom="0.78740157499999996" header="0.31496062000000002" footer="0.31496062000000002"/>
      <autoFilter ref="D2:E1086" xr:uid="{D5C69BDD-30FB-4EC6-8882-FDDF6D0DA79E}">
        <filterColumn colId="1">
          <filters>
            <filter val="RJ"/>
            <filter val="SUL"/>
          </filters>
        </filterColumn>
      </autoFilter>
    </customSheetView>
    <customSheetView guid="{7DA9518A-EE5A-427A-8374-9078BCA694F8}" filter="1" showAutoFilter="1">
      <pageMargins left="0.511811024" right="0.511811024" top="0.78740157499999996" bottom="0.78740157499999996" header="0.31496062000000002" footer="0.31496062000000002"/>
      <autoFilter ref="A1:AQ1088" xr:uid="{44908A3F-35FD-42DE-94F1-5F8D0A95C1D5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0F1F1A7D-DBBA-48E6-8155-A22F73061F6A}" filter="1" showAutoFilter="1">
      <pageMargins left="0.511811024" right="0.511811024" top="0.78740157499999996" bottom="0.78740157499999996" header="0.31496062000000002" footer="0.31496062000000002"/>
      <autoFilter ref="A1:AT1084" xr:uid="{668BEEB2-A5D1-4A12-BB23-CAF28E884E1C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8EA094D4-B192-4EF2-B9D1-8FBC187F625E}" filter="1" showAutoFilter="1">
      <pageMargins left="0.511811024" right="0.511811024" top="0.78740157499999996" bottom="0.78740157499999996" header="0.31496062000000002" footer="0.31496062000000002"/>
      <autoFilter ref="B2:AO1088" xr:uid="{008DD6FC-5F31-41BC-9D59-47FF09EF7823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3B3B7747-6ACF-4D69-A9DA-2034D46A0C17}" filter="1" showAutoFilter="1">
      <pageMargins left="0.511811024" right="0.511811024" top="0.78740157499999996" bottom="0.78740157499999996" header="0.31496062000000002" footer="0.31496062000000002"/>
      <autoFilter ref="D2:AN1093" xr:uid="{7F98C840-8063-414D-B021-6137DBAA559E}"/>
    </customSheetView>
    <customSheetView guid="{82A40C77-C21E-423D-9026-A1FFC3D45689}" filter="1" showAutoFilter="1">
      <pageMargins left="0.511811024" right="0.511811024" top="0.78740157499999996" bottom="0.78740157499999996" header="0.31496062000000002" footer="0.31496062000000002"/>
      <autoFilter ref="AH2:AH1093" xr:uid="{4AC92521-0869-44DE-AD4D-BB310F68489C}"/>
    </customSheetView>
    <customSheetView guid="{D79DC086-EEDD-4790-8146-D52BA9A7F131}" filter="1" showAutoFilter="1">
      <pageMargins left="0.511811024" right="0.511811024" top="0.78740157499999996" bottom="0.78740157499999996" header="0.31496062000000002" footer="0.31496062000000002"/>
      <autoFilter ref="A1:AU1084" xr:uid="{4BFC87B6-2B31-40CA-BBC9-3C790CA17A59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351F5E9C-A977-48CE-983D-BE49DC49D48F}" filter="1" showAutoFilter="1">
      <pageMargins left="0.511811024" right="0.511811024" top="0.78740157499999996" bottom="0.78740157499999996" header="0.31496062000000002" footer="0.31496062000000002"/>
      <autoFilter ref="A1:AS1093" xr:uid="{E5F794DA-C469-46F1-92C3-ED768D428ACA}"/>
    </customSheetView>
    <customSheetView guid="{6B15E0BD-4CEC-4AAD-8552-8A546D6B94C2}" filter="1" showAutoFilter="1">
      <pageMargins left="0.511811024" right="0.511811024" top="0.78740157499999996" bottom="0.78740157499999996" header="0.31496062000000002" footer="0.31496062000000002"/>
      <autoFilter ref="A1:AU1084" xr:uid="{5014C1CB-3BD4-4124-A36B-90FB6569336D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DC29F690-9655-45BB-92AA-E95A9B3310FB}" filter="1" showAutoFilter="1">
      <pageMargins left="0.511811024" right="0.511811024" top="0.78740157499999996" bottom="0.78740157499999996" header="0.31496062000000002" footer="0.31496062000000002"/>
      <autoFilter ref="A2:AV1084" xr:uid="{075D0994-8014-474B-A197-02369511042B}">
        <filterColumn colId="4">
          <filters>
            <filter val="RJ"/>
            <filter val="SUL"/>
          </filters>
        </filterColumn>
      </autoFilter>
    </customSheetView>
    <customSheetView guid="{F0BB1313-8DAB-4593-8379-B4E1E3B74303}" filter="1" showAutoFilter="1">
      <pageMargins left="0.511811024" right="0.511811024" top="0.78740157499999996" bottom="0.78740157499999996" header="0.31496062000000002" footer="0.31496062000000002"/>
      <autoFilter ref="A1:AS1084" xr:uid="{D27F8DFB-2F9A-499D-BEE7-4ABF8DD1F3DA}">
        <filterColumn colId="4">
          <filters>
            <filter val="DF"/>
            <filter val="RJ"/>
          </filters>
        </filterColumn>
      </autoFilter>
    </customSheetView>
    <customSheetView guid="{68027020-505F-4FEF-B89A-FA26CB86BFBD}" filter="1" showAutoFilter="1">
      <pageMargins left="0.511811024" right="0.511811024" top="0.78740157499999996" bottom="0.78740157499999996" header="0.31496062000000002" footer="0.31496062000000002"/>
      <autoFilter ref="A1:F1084" xr:uid="{A78886CD-80D4-451A-96E7-F79CDB62368C}"/>
    </customSheetView>
    <customSheetView guid="{76D4584F-C314-4A4E-9FC8-D8CBFFFD2BFD}" filter="1" showAutoFilter="1">
      <pageMargins left="0.511811024" right="0.511811024" top="0.78740157499999996" bottom="0.78740157499999996" header="0.31496062000000002" footer="0.31496062000000002"/>
      <autoFilter ref="B2:AL1088" xr:uid="{29E5D9CF-193A-4C40-8A00-B92CD551A68D}"/>
    </customSheetView>
    <customSheetView guid="{4B144270-D511-4B35-9F3A-15D532C23A28}" filter="1" showAutoFilter="1">
      <pageMargins left="0.511811024" right="0.511811024" top="0.78740157499999996" bottom="0.78740157499999996" header="0.31496062000000002" footer="0.31496062000000002"/>
      <autoFilter ref="A1:AV1084" xr:uid="{A81B96DE-D02E-46A4-A422-F1289A1A8D8A}"/>
    </customSheetView>
    <customSheetView guid="{71E42FA8-6CEB-4654-A089-2A9DF79B5124}" filter="1" showAutoFilter="1">
      <pageMargins left="0.511811024" right="0.511811024" top="0.78740157499999996" bottom="0.78740157499999996" header="0.31496062000000002" footer="0.31496062000000002"/>
      <autoFilter ref="B2:AN1093" xr:uid="{B269FD29-4358-463C-A30A-7418D515B62D}"/>
    </customSheetView>
    <customSheetView guid="{ACC6E3C0-B31C-4914-B8EB-5C970F7276E1}" filter="1" showAutoFilter="1">
      <pageMargins left="0.511811024" right="0.511811024" top="0.78740157499999996" bottom="0.78740157499999996" header="0.31496062000000002" footer="0.31496062000000002"/>
      <autoFilter ref="B2:AN1088" xr:uid="{D1B900A2-ED55-4755-8D65-6ACB78D89C4E}"/>
    </customSheetView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B2:AP1088" xr:uid="{FDD7C7E3-4EB3-4073-A747-A4967357D079}">
        <filterColumn colId="6">
          <filters blank="1">
            <filter val="Ativo"/>
            <filter val="Inativo"/>
          </filters>
        </filterColumn>
      </autoFilter>
    </customSheetView>
    <customSheetView guid="{04B94E89-4EC8-4751-9D2C-F81029B1E06C}" filter="1" showAutoFilter="1">
      <pageMargins left="0.511811024" right="0.511811024" top="0.78740157499999996" bottom="0.78740157499999996" header="0.31496062000000002" footer="0.31496062000000002"/>
      <autoFilter ref="A1:AV1084" xr:uid="{285B1503-3623-49D4-9C26-18A8B5CA7DC4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7B492E-5EDA-4AB3-B46E-D679F16BA1C5}" filter="1" showAutoFilter="1">
      <pageMargins left="0.511811024" right="0.511811024" top="0.78740157499999996" bottom="0.78740157499999996" header="0.31496062000000002" footer="0.31496062000000002"/>
      <autoFilter ref="A1:AU1084" xr:uid="{D844574C-C396-490A-AEE8-611773357F35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94B1EE88-AAE4-419C-A337-E394A2D47789}" filter="1" showAutoFilter="1">
      <pageMargins left="0.511811024" right="0.511811024" top="0.78740157499999996" bottom="0.78740157499999996" header="0.31496062000000002" footer="0.31496062000000002"/>
      <autoFilter ref="A1:AQ1088" xr:uid="{EB550B8F-F96C-4390-BBD3-5FBE59DE724C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08A98F0-B886-4603-9AAA-7507D9F3FDF3}" filter="1" showAutoFilter="1">
      <pageMargins left="0.511811024" right="0.511811024" top="0.78740157499999996" bottom="0.78740157499999996" header="0.31496062000000002" footer="0.31496062000000002"/>
      <autoFilter ref="A1:AQ1088" xr:uid="{2A9DFB4A-C567-4C21-9B0B-32658C7A60BF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008E127E-C544-4EFA-BE3B-1D75A2D8A540}" filter="1" showAutoFilter="1">
      <pageMargins left="0.511811024" right="0.511811024" top="0.78740157499999996" bottom="0.78740157499999996" header="0.31496062000000002" footer="0.31496062000000002"/>
      <autoFilter ref="AO2:AO1093" xr:uid="{B2042E27-87F6-4B55-8F52-1039FC74C6F7}"/>
    </customSheetView>
    <customSheetView guid="{B556C7A5-AB95-4E4B-B2D0-18365AF04A31}" filter="1" showAutoFilter="1">
      <pageMargins left="0.511811024" right="0.511811024" top="0.78740157499999996" bottom="0.78740157499999996" header="0.31496062000000002" footer="0.31496062000000002"/>
      <autoFilter ref="A2:AV1084" xr:uid="{E68539F7-642B-49C2-88BD-71825D41241C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9383F315-992B-4F81-9F15-ACA3399A25A8}" filter="1" showAutoFilter="1">
      <pageMargins left="0.511811024" right="0.511811024" top="0.78740157499999996" bottom="0.78740157499999996" header="0.31496062000000002" footer="0.31496062000000002"/>
      <autoFilter ref="A1:AQ1088" xr:uid="{2461115C-F5D1-4227-8E56-91E150AA7206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.511811024" right="0.511811024" top="0.78740157499999996" bottom="0.78740157499999996" header="0.31496062000000002" footer="0.31496062000000002"/>
      <autoFilter ref="A2:AS1084" xr:uid="{1A8FB438-AE9D-44DD-A3E8-AE4D3CDB3BCD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95295AF-CFCB-4FCC-B804-2D2424BE9A49}" filter="1" showAutoFilter="1">
      <pageMargins left="0.511811024" right="0.511811024" top="0.78740157499999996" bottom="0.78740157499999996" header="0.31496062000000002" footer="0.31496062000000002"/>
      <autoFilter ref="A1:AR1088" xr:uid="{92832E05-1CEE-4334-8954-A4D274950B72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89C1539B-029C-4A93-ABD6-1E5ED24463CE}" filter="1" showAutoFilter="1">
      <pageMargins left="0.511811024" right="0.511811024" top="0.78740157499999996" bottom="0.78740157499999996" header="0.31496062000000002" footer="0.31496062000000002"/>
      <autoFilter ref="F2:F1093" xr:uid="{61CC8F52-59C2-49FD-904D-0A483D067CC2}"/>
    </customSheetView>
    <customSheetView guid="{A38DF138-839A-4A1C-BC46-D2DEF970C3D5}" filter="1" showAutoFilter="1">
      <pageMargins left="0.511811024" right="0.511811024" top="0.78740157499999996" bottom="0.78740157499999996" header="0.31496062000000002" footer="0.31496062000000002"/>
      <autoFilter ref="A2:AU1084" xr:uid="{C6B676B9-2118-4D21-9EA2-5F5D686A55CB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0EDE9E2-012B-4D94-BBFB-E727994B300D}" filter="1" showAutoFilter="1">
      <pageMargins left="0.511811024" right="0.511811024" top="0.78740157499999996" bottom="0.78740157499999996" header="0.31496062000000002" footer="0.31496062000000002"/>
      <autoFilter ref="F2:M1093" xr:uid="{A3897D38-1821-4D7B-98B7-2336E404FDC1}"/>
    </customSheetView>
    <customSheetView guid="{F2B8A4F9-E4F8-4ED0-A21F-30A975482C04}" filter="1" showAutoFilter="1">
      <pageMargins left="0.511811024" right="0.511811024" top="0.78740157499999996" bottom="0.78740157499999996" header="0.31496062000000002" footer="0.31496062000000002"/>
      <autoFilter ref="A2:AT1084" xr:uid="{08C4E02E-F320-4808-A06A-06C935C6EA3B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E4B428C-7B14-45A5-8B2C-221969AE8FFF}" filter="1" showAutoFilter="1">
      <pageMargins left="0.511811024" right="0.511811024" top="0.78740157499999996" bottom="0.78740157499999996" header="0.31496062000000002" footer="0.31496062000000002"/>
      <autoFilter ref="A1:AV1084" xr:uid="{B17FC6C5-A466-4A1D-8311-3C78AC23DCA1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8D24973A-3DD4-4A65-81AA-4A3A5E1B8097}" filter="1" showAutoFilter="1">
      <pageMargins left="0.511811024" right="0.511811024" top="0.78740157499999996" bottom="0.78740157499999996" header="0.31496062000000002" footer="0.31496062000000002"/>
      <autoFilter ref="A1:AU1084" xr:uid="{8B1B1687-977E-4209-819C-6CE1A51EB049}"/>
    </customSheetView>
    <customSheetView guid="{45E1B251-B47C-4880-A24C-DFF311DFB6BE}" filter="1" showAutoFilter="1">
      <pageMargins left="0.511811024" right="0.511811024" top="0.78740157499999996" bottom="0.78740157499999996" header="0.31496062000000002" footer="0.31496062000000002"/>
      <autoFilter ref="B2:AO1088" xr:uid="{EA790C0B-5A78-4BE7-A5C9-3A7A202E165B}"/>
    </customSheetView>
    <customSheetView guid="{1E3418C5-BE5C-4169-B722-868C56F47867}" filter="1" showAutoFilter="1">
      <pageMargins left="0.511811024" right="0.511811024" top="0.78740157499999996" bottom="0.78740157499999996" header="0.31496062000000002" footer="0.31496062000000002"/>
      <autoFilter ref="A2:AU1084" xr:uid="{B7727653-9E02-4D74-893B-F1661F993AFA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.511811024" right="0.511811024" top="0.78740157499999996" bottom="0.78740157499999996" header="0.31496062000000002" footer="0.31496062000000002"/>
      <autoFilter ref="A1:AR1093" xr:uid="{1E3F27D4-33C5-48DF-B565-D5F12814D5B0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3245F46-37F0-4BF4-A32E-422B28702198}" filter="1" showAutoFilter="1">
      <pageMargins left="0.511811024" right="0.511811024" top="0.78740157499999996" bottom="0.78740157499999996" header="0.31496062000000002" footer="0.31496062000000002"/>
      <autoFilter ref="A1:AU1084" xr:uid="{08B6491B-85C9-46EF-8BDB-2D7214220D23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5C3EDBE-D036-4F19-BBFF-08129EB89FC5}" filter="1" showAutoFilter="1">
      <pageMargins left="0.511811024" right="0.511811024" top="0.78740157499999996" bottom="0.78740157499999996" header="0.31496062000000002" footer="0.31496062000000002"/>
      <autoFilter ref="A1:AU1093" xr:uid="{0521D5FC-BAF3-427A-8DA8-DC68FA11CCC9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EA321758-483F-4473-88B9-B2CF626E6766}" filter="1" showAutoFilter="1">
      <pageMargins left="0.511811024" right="0.511811024" top="0.78740157499999996" bottom="0.78740157499999996" header="0.31496062000000002" footer="0.31496062000000002"/>
      <autoFilter ref="A1:AQ1088" xr:uid="{D6FDC011-AAAB-4A4F-B3BB-D41BE575C1F4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7EAC6D07-C079-4E1F-8351-32A4134DCF17}" filter="1" showAutoFilter="1">
      <pageMargins left="0.511811024" right="0.511811024" top="0.78740157499999996" bottom="0.78740157499999996" header="0.31496062000000002" footer="0.31496062000000002"/>
      <autoFilter ref="A1:AT1084" xr:uid="{A272B3DA-28C5-4847-9F81-26AAAE9937C5}"/>
    </customSheetView>
    <customSheetView guid="{D8819ACB-4D4A-4A46-9E67-27B50537E1A0}" filter="1" showAutoFilter="1">
      <pageMargins left="0.511811024" right="0.511811024" top="0.78740157499999996" bottom="0.78740157499999996" header="0.31496062000000002" footer="0.31496062000000002"/>
      <autoFilter ref="A1:AQ1093" xr:uid="{3C389BC7-0B2B-496F-8E4F-5E60DB271408}"/>
    </customSheetView>
    <customSheetView guid="{868430C6-0589-475C-A71F-471025F1F9DA}" filter="1" showAutoFilter="1">
      <pageMargins left="0.511811024" right="0.511811024" top="0.78740157499999996" bottom="0.78740157499999996" header="0.31496062000000002" footer="0.31496062000000002"/>
      <autoFilter ref="F2:F1093" xr:uid="{93B4D722-FBA7-40B0-BA2A-C453450337FD}"/>
    </customSheetView>
    <customSheetView guid="{A5104C11-AB4D-42DF-BDB1-C9ECB067E779}" filter="1" showAutoFilter="1">
      <pageMargins left="0.511811024" right="0.511811024" top="0.78740157499999996" bottom="0.78740157499999996" header="0.31496062000000002" footer="0.31496062000000002"/>
      <autoFilter ref="A1:AQ1088" xr:uid="{E03A169C-594B-4331-ADF3-1E8E5A8AA0E0}">
        <filterColumn colId="6">
          <filters blank="1">
            <filter val="Gabriel"/>
            <filter val="Marcus"/>
          </filters>
        </filterColumn>
      </autoFilter>
    </customSheetView>
    <customSheetView guid="{30DCFFE6-AC46-4E31-A4DE-A50A8DB8D6EE}" filter="1" showAutoFilter="1">
      <pageMargins left="0.511811024" right="0.511811024" top="0.78740157499999996" bottom="0.78740157499999996" header="0.31496062000000002" footer="0.31496062000000002"/>
      <autoFilter ref="B2:AO1093" xr:uid="{E2FA8161-3F09-4995-B067-0DB5A9B557BB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FB88F0D5-C0C4-49EA-AA98-7E894FD09BBF}" filter="1" showAutoFilter="1">
      <pageMargins left="0.511811024" right="0.511811024" top="0.78740157499999996" bottom="0.78740157499999996" header="0.31496062000000002" footer="0.31496062000000002"/>
      <autoFilter ref="AM2:AM1093" xr:uid="{799F14F4-8FFD-4A7E-BE8E-6679BC3EF92E}"/>
    </customSheetView>
    <customSheetView guid="{D072EB94-FC7A-42D0-92E6-38EC69ADB85A}" filter="1" showAutoFilter="1">
      <pageMargins left="0.511811024" right="0.511811024" top="0.78740157499999996" bottom="0.78740157499999996" header="0.31496062000000002" footer="0.31496062000000002"/>
      <autoFilter ref="M2:O1093" xr:uid="{174A1354-8640-4CD5-99FC-3E79F657D7F9}"/>
    </customSheetView>
    <customSheetView guid="{5AA61B26-04EA-4139-9C7F-0A469271FB39}" filter="1" showAutoFilter="1">
      <pageMargins left="0.511811024" right="0.511811024" top="0.78740157499999996" bottom="0.78740157499999996" header="0.31496062000000002" footer="0.31496062000000002"/>
      <autoFilter ref="K2:K1093" xr:uid="{55688847-0809-47D6-AC76-79092B78AFD8}"/>
    </customSheetView>
    <customSheetView guid="{FBF43EAE-8290-440F-B9C7-B7F1CB34234E}" filter="1" showAutoFilter="1">
      <pageMargins left="0.511811024" right="0.511811024" top="0.78740157499999996" bottom="0.78740157499999996" header="0.31496062000000002" footer="0.31496062000000002"/>
      <autoFilter ref="A1:AR1093" xr:uid="{0FABC8BD-153D-4E60-B004-961C144E5E4C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1CA5E0BF-68F0-49B9-BAC3-D5150E9684AC}" filter="1" showAutoFilter="1">
      <pageMargins left="0.511811024" right="0.511811024" top="0.78740157499999996" bottom="0.78740157499999996" header="0.31496062000000002" footer="0.31496062000000002"/>
      <autoFilter ref="A1:AW1084" xr:uid="{FA63DFB6-7BA5-4380-82EA-47423A5518DF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0C093EF2-FE71-4A36-A5D0-0CC1ED345771}" filter="1" showAutoFilter="1">
      <pageMargins left="0.511811024" right="0.511811024" top="0.78740157499999996" bottom="0.78740157499999996" header="0.31496062000000002" footer="0.31496062000000002"/>
      <autoFilter ref="A1:AQ1088" xr:uid="{BAD05029-2FC9-4DCA-9661-B317FFA872AB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C9E04318-49D5-413C-AE45-5FA13028FBA7}" filter="1" showAutoFilter="1">
      <pageMargins left="0.511811024" right="0.511811024" top="0.78740157499999996" bottom="0.78740157499999996" header="0.31496062000000002" footer="0.31496062000000002"/>
      <autoFilter ref="A2:AQ1088" xr:uid="{961C10CC-C3A3-4DBE-85D7-3587401E6485}"/>
    </customSheetView>
    <customSheetView guid="{B9BC7587-C8FA-44AE-AF72-4EC169138123}" filter="1" showAutoFilter="1">
      <pageMargins left="0.511811024" right="0.511811024" top="0.78740157499999996" bottom="0.78740157499999996" header="0.31496062000000002" footer="0.31496062000000002"/>
      <autoFilter ref="A2:AQ1088" xr:uid="{E5DA2E3F-67BF-4FFF-B80F-CDBAA9C4C3F6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92D059E1-DD44-46EF-9817-CE8E9ED08641}" filter="1" showAutoFilter="1">
      <pageMargins left="0.511811024" right="0.511811024" top="0.78740157499999996" bottom="0.78740157499999996" header="0.31496062000000002" footer="0.31496062000000002"/>
      <autoFilter ref="A1:AW1084" xr:uid="{745DF11D-4FFF-4410-9887-47C4D8C2EBCC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C437C293-DD5A-46C1-9E17-A1E6569A844F}" filter="1" showAutoFilter="1">
      <pageMargins left="0.511811024" right="0.511811024" top="0.78740157499999996" bottom="0.78740157499999996" header="0.31496062000000002" footer="0.31496062000000002"/>
      <autoFilter ref="A1:AU1084" xr:uid="{1E3AC968-114E-4879-A5E6-EF598616EC93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C0BB8DA4-833E-4321-AB5F-AC42635F4B03}" filter="1" showAutoFilter="1">
      <pageMargins left="0.511811024" right="0.511811024" top="0.78740157499999996" bottom="0.78740157499999996" header="0.31496062000000002" footer="0.31496062000000002"/>
      <autoFilter ref="A1:AU1084" xr:uid="{ABDFD281-990D-4C1F-93E6-73497C6C456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1B04E56E-E798-4C11-95F4-24698B8E55CF}" filter="1" showAutoFilter="1">
      <pageMargins left="0.511811024" right="0.511811024" top="0.78740157499999996" bottom="0.78740157499999996" header="0.31496062000000002" footer="0.31496062000000002"/>
      <autoFilter ref="A2:AT1084" xr:uid="{B7BA1C76-39F6-4E5A-A169-9223DD56AA88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3AD15E8-13CC-456A-AB04-51AAF9E2980D}" filter="1" showAutoFilter="1">
      <pageMargins left="0.511811024" right="0.511811024" top="0.78740157499999996" bottom="0.78740157499999996" header="0.31496062000000002" footer="0.31496062000000002"/>
      <autoFilter ref="A1:AU1084" xr:uid="{D1617947-D4C2-413F-B103-D210246498DE}"/>
    </customSheetView>
    <customSheetView guid="{7AF13999-56AE-4926-8E0B-6078908E462E}" filter="1" showAutoFilter="1">
      <pageMargins left="0.511811024" right="0.511811024" top="0.78740157499999996" bottom="0.78740157499999996" header="0.31496062000000002" footer="0.31496062000000002"/>
      <autoFilter ref="AO2:AO1093" xr:uid="{BB6F38BD-BA1B-45E7-A064-42FACBC12A77}"/>
    </customSheetView>
    <customSheetView guid="{8CCE7264-53B5-42E0-91A2-AC90A97DDBB0}" filter="1" showAutoFilter="1">
      <pageMargins left="0.511811024" right="0.511811024" top="0.78740157499999996" bottom="0.78740157499999996" header="0.31496062000000002" footer="0.31496062000000002"/>
      <autoFilter ref="A2:AW1084" xr:uid="{FAFD1813-E046-4044-B915-5E340F688C3F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CA819861-0AE0-4948-82AE-AB183D929D75}" filter="1" showAutoFilter="1">
      <pageMargins left="0.511811024" right="0.511811024" top="0.78740157499999996" bottom="0.78740157499999996" header="0.31496062000000002" footer="0.31496062000000002"/>
      <autoFilter ref="B2:AL1088" xr:uid="{C0DBBC49-9328-4E90-A00B-3FF5C12DF91C}"/>
    </customSheetView>
    <customSheetView guid="{182CC3BD-F05F-4640-93AB-3E742A49D2F4}" filter="1" showAutoFilter="1">
      <pageMargins left="0.511811024" right="0.511811024" top="0.78740157499999996" bottom="0.78740157499999996" header="0.31496062000000002" footer="0.31496062000000002"/>
      <autoFilter ref="A1:AU1084" xr:uid="{5E7F70B5-C75D-4DF2-9B71-AC9FEC2C79CF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EA88256-CB03-4841-9B37-F0F16919974C}" filter="1" showAutoFilter="1">
      <pageMargins left="0.511811024" right="0.511811024" top="0.78740157499999996" bottom="0.78740157499999996" header="0.31496062000000002" footer="0.31496062000000002"/>
      <autoFilter ref="A1:AQ1088" xr:uid="{715A3A17-E0D1-45F1-89F1-E282AC0F55D4}"/>
    </customSheetView>
    <customSheetView guid="{BE8CD934-CC4E-44AD-87CB-FAA2F27B5EDE}" filter="1" showAutoFilter="1">
      <pageMargins left="0.511811024" right="0.511811024" top="0.78740157499999996" bottom="0.78740157499999996" header="0.31496062000000002" footer="0.31496062000000002"/>
      <autoFilter ref="A1:AW1084" xr:uid="{1EC72EE1-FFDF-46A7-A733-FD78E2BF98A8}">
        <filterColumn colId="7">
          <filters>
            <filter val="Pode Operar"/>
          </filters>
        </filterColumn>
      </autoFilter>
    </customSheetView>
    <customSheetView guid="{C1687B13-2B25-4F88-B9FC-5F98F0C59F78}" filter="1" showAutoFilter="1">
      <pageMargins left="0.511811024" right="0.511811024" top="0.78740157499999996" bottom="0.78740157499999996" header="0.31496062000000002" footer="0.31496062000000002"/>
      <autoFilter ref="A1:AQ1088" xr:uid="{B98C82DD-CC12-411B-8CB3-4F8D0DC431AD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D6B9F54-BE99-4813-98C8-B7E13E17DB44}" filter="1" showAutoFilter="1">
      <pageMargins left="0.511811024" right="0.511811024" top="0.78740157499999996" bottom="0.78740157499999996" header="0.31496062000000002" footer="0.31496062000000002"/>
      <autoFilter ref="A1:AR1088" xr:uid="{7E40000F-4652-4116-B109-1807D70AB29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DB54CEC-7DF6-4819-98A7-5213652DB41E}" filter="1" showAutoFilter="1">
      <pageMargins left="0.511811024" right="0.511811024" top="0.78740157499999996" bottom="0.78740157499999996" header="0.31496062000000002" footer="0.31496062000000002"/>
      <autoFilter ref="A1:AW1084" xr:uid="{D3A58754-F024-4672-8F07-398839A05BA8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430D34E-B491-4E9C-849E-EEB9B339935A}" filter="1" showAutoFilter="1">
      <pageMargins left="0.511811024" right="0.511811024" top="0.78740157499999996" bottom="0.78740157499999996" header="0.31496062000000002" footer="0.31496062000000002"/>
      <autoFilter ref="A1:BM1088" xr:uid="{B34BA4DA-5D76-4952-994B-2CC8510A3BFA}"/>
    </customSheetView>
    <customSheetView guid="{B7CC4EE4-A846-4603-8481-AD2D4CB802B6}" filter="1" showAutoFilter="1">
      <pageMargins left="0.511811024" right="0.511811024" top="0.78740157499999996" bottom="0.78740157499999996" header="0.31496062000000002" footer="0.31496062000000002"/>
      <autoFilter ref="A1:AV1084" xr:uid="{AA5B0DAE-EDC5-4500-86C4-20BA76A27FC4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2A7C5A02-283B-4AF0-9172-FB25C169B4CC}" filter="1" showAutoFilter="1">
      <pageMargins left="0.511811024" right="0.511811024" top="0.78740157499999996" bottom="0.78740157499999996" header="0.31496062000000002" footer="0.31496062000000002"/>
      <autoFilter ref="D2:F1093" xr:uid="{52F184CB-9AC6-48DC-A1CE-4D0CA069FE27}"/>
    </customSheetView>
  </customSheetViews>
  <conditionalFormatting sqref="I2:I121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10">
    <dataValidation type="list" allowBlank="1" showErrorMessage="1" sqref="S2:S99 U2:V99 Q99:Q121 Q2:R98" xr:uid="{7E05ADEF-906B-4B8C-BFD3-D5BEDE6EC5B1}">
      <formula1>"SIM,NÃO"</formula1>
    </dataValidation>
    <dataValidation type="list" allowBlank="1" showErrorMessage="1" sqref="P2:P114" xr:uid="{DEDCC624-A6B3-4475-97E2-84B259199A38}">
      <mc:AlternateContent xmlns:x12ac="http://schemas.microsoft.com/office/spreadsheetml/2011/1/ac" xmlns:mc="http://schemas.openxmlformats.org/markup-compatibility/2006">
        <mc:Choice Requires="x12ac">
          <x12ac:list>"IPCA+2,5%",IPCA+4%,IPCA+5%,IPCA+6%</x12ac:list>
        </mc:Choice>
        <mc:Fallback>
          <formula1>"IPCA+2,5%,IPCA+4%,IPCA+5%,IPCA+6%"</formula1>
        </mc:Fallback>
      </mc:AlternateContent>
    </dataValidation>
    <dataValidation type="list" allowBlank="1" showErrorMessage="1" sqref="I2:I99" xr:uid="{00000000-0002-0000-0100-000002000000}">
      <formula1>"DF,GO,SUL,SP,RJ"</formula1>
    </dataValidation>
    <dataValidation type="list" allowBlank="1" showErrorMessage="1" sqref="E2:E99 E101 E104:E107 E109:E121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W2:W99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21" xr:uid="{C992A5C2-835D-4B1F-9EE0-9169D654933C}">
      <formula1>"MFO, Tesouraria, Wealth"</formula1>
    </dataValidation>
    <dataValidation type="list" allowBlank="1" showErrorMessage="1" sqref="R99" xr:uid="{00000000-0002-0000-0100-000007000000}">
      <formula1>"IBOVESPA,CDI,------,IFIX,SMLL,S&amp;P 500,IPCA,IPCA + 7%"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10" t="s">
        <v>576</v>
      </c>
      <c r="B1" s="10" t="s">
        <v>577</v>
      </c>
      <c r="C1" s="10" t="s">
        <v>578</v>
      </c>
      <c r="D1" s="10" t="s">
        <v>579</v>
      </c>
      <c r="E1" s="10" t="s">
        <v>580</v>
      </c>
      <c r="F1" s="10" t="s">
        <v>581</v>
      </c>
      <c r="G1" s="10" t="s">
        <v>582</v>
      </c>
    </row>
    <row r="2" spans="1:17" ht="15.75" customHeight="1">
      <c r="A2" s="11" t="s">
        <v>583</v>
      </c>
      <c r="B2" s="12" t="s">
        <v>584</v>
      </c>
      <c r="C2" s="13">
        <v>30271</v>
      </c>
      <c r="D2" s="12">
        <f t="shared" ref="D2:D14" si="0">DATEDIF(C2,$C$121,"Y")</f>
        <v>37</v>
      </c>
      <c r="E2" s="12" t="s">
        <v>585</v>
      </c>
      <c r="F2" s="12" t="s">
        <v>586</v>
      </c>
      <c r="G2" s="14">
        <v>326844</v>
      </c>
      <c r="J2" s="15" t="s">
        <v>577</v>
      </c>
      <c r="K2" s="12" t="s">
        <v>575</v>
      </c>
      <c r="L2" s="12" t="s">
        <v>587</v>
      </c>
      <c r="M2" s="12" t="s">
        <v>588</v>
      </c>
      <c r="N2" s="12" t="s">
        <v>587</v>
      </c>
      <c r="O2" s="12" t="s">
        <v>589</v>
      </c>
    </row>
    <row r="3" spans="1:17" ht="15.75" customHeight="1">
      <c r="A3" s="16" t="s">
        <v>590</v>
      </c>
      <c r="B3" s="12" t="s">
        <v>574</v>
      </c>
      <c r="C3" s="13">
        <v>20755</v>
      </c>
      <c r="D3" s="12">
        <f t="shared" si="0"/>
        <v>63</v>
      </c>
      <c r="E3" s="12" t="s">
        <v>591</v>
      </c>
      <c r="F3" s="12" t="s">
        <v>586</v>
      </c>
      <c r="G3" s="14">
        <v>100078.05</v>
      </c>
      <c r="J3" s="17" t="s">
        <v>592</v>
      </c>
      <c r="K3" s="12">
        <f>COUNTIF(B2:B118,"M")</f>
        <v>71</v>
      </c>
      <c r="L3" s="18">
        <f>K3/K5</f>
        <v>0.60683760683760679</v>
      </c>
      <c r="M3" s="19">
        <f>SUMIFS(G2:G118,B2:B118,"M")</f>
        <v>22181805.449999999</v>
      </c>
      <c r="N3" s="20">
        <f>M3/M5</f>
        <v>0.68090083812583502</v>
      </c>
      <c r="O3" s="19">
        <f>M3/COUNTIFS(G2:G118,"&gt;0",B2:B118,"M")</f>
        <v>331071.72313432832</v>
      </c>
      <c r="P3" s="21">
        <f>COUNTIFS(G2:G118,"&gt;0",B2:B118,"M")</f>
        <v>67</v>
      </c>
      <c r="Q3" s="22"/>
    </row>
    <row r="4" spans="1:17" ht="15.75" customHeight="1">
      <c r="A4" s="23" t="s">
        <v>593</v>
      </c>
      <c r="B4" s="12" t="s">
        <v>584</v>
      </c>
      <c r="C4" s="13">
        <v>28058</v>
      </c>
      <c r="D4" s="12">
        <f t="shared" si="0"/>
        <v>43</v>
      </c>
      <c r="E4" s="12" t="s">
        <v>594</v>
      </c>
      <c r="F4" s="12" t="s">
        <v>586</v>
      </c>
      <c r="G4" s="14">
        <v>49196.01</v>
      </c>
      <c r="J4" s="17" t="s">
        <v>595</v>
      </c>
      <c r="K4" s="12">
        <f>COUNTIF(B2:B118,"F")</f>
        <v>46</v>
      </c>
      <c r="L4" s="18">
        <f>K4/K5</f>
        <v>0.39316239316239315</v>
      </c>
      <c r="M4" s="19">
        <f>SUMIFS(G2:G118,B2:B118,"F")</f>
        <v>10395339.720000001</v>
      </c>
      <c r="N4" s="20">
        <f>M4/M5</f>
        <v>0.31909916187416493</v>
      </c>
      <c r="O4" s="19">
        <f>M4/COUNTIFS(G2:G118,"&gt;0",B2:B118,"F")</f>
        <v>253544.87121951222</v>
      </c>
      <c r="P4" s="21">
        <f>COUNTIFS(G2:G118,"&gt;0",B2:B118,"F")</f>
        <v>41</v>
      </c>
      <c r="Q4" s="22"/>
    </row>
    <row r="5" spans="1:17" ht="15.75" customHeight="1">
      <c r="A5" s="17" t="s">
        <v>596</v>
      </c>
      <c r="B5" s="12" t="s">
        <v>584</v>
      </c>
      <c r="C5" s="13">
        <v>29075</v>
      </c>
      <c r="D5" s="12">
        <f t="shared" si="0"/>
        <v>40</v>
      </c>
      <c r="E5" s="12" t="s">
        <v>594</v>
      </c>
      <c r="F5" s="12" t="s">
        <v>586</v>
      </c>
      <c r="G5" s="14">
        <v>100349</v>
      </c>
      <c r="J5" s="17" t="s">
        <v>575</v>
      </c>
      <c r="K5" s="12">
        <f t="shared" ref="K5:N5" si="1">SUM(K3:K4)</f>
        <v>117</v>
      </c>
      <c r="L5" s="18">
        <f t="shared" si="1"/>
        <v>1</v>
      </c>
      <c r="M5" s="19">
        <f t="shared" si="1"/>
        <v>32577145.170000002</v>
      </c>
      <c r="N5" s="20">
        <f t="shared" si="1"/>
        <v>1</v>
      </c>
      <c r="O5" s="19" t="s">
        <v>198</v>
      </c>
      <c r="P5" s="21">
        <f>SUM(P3:P4)</f>
        <v>108</v>
      </c>
    </row>
    <row r="6" spans="1:17" ht="15.75" customHeight="1">
      <c r="A6" s="16" t="s">
        <v>597</v>
      </c>
      <c r="B6" s="12" t="s">
        <v>584</v>
      </c>
      <c r="C6" s="13">
        <v>26364</v>
      </c>
      <c r="D6" s="12">
        <f t="shared" si="0"/>
        <v>47</v>
      </c>
      <c r="E6" s="12" t="s">
        <v>594</v>
      </c>
      <c r="F6" s="12" t="s">
        <v>586</v>
      </c>
      <c r="G6" s="14">
        <v>254439</v>
      </c>
      <c r="P6" s="21"/>
    </row>
    <row r="7" spans="1:17" ht="15.75" customHeight="1">
      <c r="A7" s="16" t="s">
        <v>598</v>
      </c>
      <c r="B7" s="12" t="s">
        <v>584</v>
      </c>
      <c r="C7" s="13">
        <v>30591</v>
      </c>
      <c r="D7" s="12">
        <f t="shared" si="0"/>
        <v>36</v>
      </c>
      <c r="E7" s="12" t="s">
        <v>585</v>
      </c>
      <c r="F7" s="12" t="s">
        <v>599</v>
      </c>
      <c r="G7" s="14">
        <v>105616</v>
      </c>
      <c r="J7" s="15" t="s">
        <v>579</v>
      </c>
      <c r="K7" s="12" t="s">
        <v>575</v>
      </c>
      <c r="L7" s="12" t="s">
        <v>587</v>
      </c>
      <c r="M7" s="12" t="s">
        <v>600</v>
      </c>
      <c r="N7" s="12" t="s">
        <v>587</v>
      </c>
      <c r="O7" s="12" t="s">
        <v>589</v>
      </c>
      <c r="P7" s="21"/>
    </row>
    <row r="8" spans="1:17" ht="15.75" customHeight="1">
      <c r="A8" s="17" t="s">
        <v>601</v>
      </c>
      <c r="B8" s="12" t="s">
        <v>584</v>
      </c>
      <c r="C8" s="13">
        <v>28792</v>
      </c>
      <c r="D8" s="12">
        <f t="shared" si="0"/>
        <v>41</v>
      </c>
      <c r="E8" s="12" t="s">
        <v>602</v>
      </c>
      <c r="F8" s="12" t="s">
        <v>586</v>
      </c>
      <c r="G8" s="14">
        <v>1013833</v>
      </c>
      <c r="J8" s="17" t="s">
        <v>603</v>
      </c>
      <c r="K8" s="12">
        <f>COUNTIFS(D2:D118,"&gt;=18",D2:D118,"&lt;30")</f>
        <v>5</v>
      </c>
      <c r="L8" s="18">
        <f t="shared" ref="L8:L15" si="2">K8/$K$15</f>
        <v>4.5045045045045043E-2</v>
      </c>
      <c r="M8" s="19">
        <f>SUMIFS(G2:G118,D2:D118,"&gt;=18",D2:D118,"&lt;30")</f>
        <v>580732.40999999992</v>
      </c>
      <c r="N8" s="20">
        <f t="shared" ref="N8:N15" si="3">M8/$M$15</f>
        <v>1.8124633245364289E-2</v>
      </c>
      <c r="O8" s="19">
        <f>M8/COUNTIFS(D2:D118,"&gt;=18",D2:D118,"&lt;30",G2:G118,"&gt;0")</f>
        <v>116146.48199999999</v>
      </c>
      <c r="P8" s="21">
        <f>COUNTIFS(D2:D118,"&gt;=18",D2:D118,"&lt;30",G2:G118,"&gt;0")</f>
        <v>5</v>
      </c>
    </row>
    <row r="9" spans="1:17" ht="15.75" customHeight="1">
      <c r="A9" s="17" t="s">
        <v>604</v>
      </c>
      <c r="B9" s="12" t="s">
        <v>584</v>
      </c>
      <c r="C9" s="13">
        <v>33605</v>
      </c>
      <c r="D9" s="12">
        <f t="shared" si="0"/>
        <v>28</v>
      </c>
      <c r="E9" s="12" t="s">
        <v>605</v>
      </c>
      <c r="F9" s="12" t="s">
        <v>586</v>
      </c>
      <c r="G9" s="14">
        <v>5158.12</v>
      </c>
      <c r="J9" s="17" t="s">
        <v>606</v>
      </c>
      <c r="K9" s="12">
        <f>COUNTIFS(D2:D118,"&gt;=30",D2:D118,"&lt;40")</f>
        <v>33</v>
      </c>
      <c r="L9" s="18">
        <f t="shared" si="2"/>
        <v>0.29729729729729731</v>
      </c>
      <c r="M9" s="19">
        <f>SUMIFS(G2:G118,D2:D118,"&gt;=30",D2:D118,"&lt;40")</f>
        <v>8235964.8899999997</v>
      </c>
      <c r="N9" s="20">
        <f t="shared" si="3"/>
        <v>0.25704410582654935</v>
      </c>
      <c r="O9" s="19">
        <f>M9/COUNTIFS(D2:D118,"&gt;=30",D2:D118,"&lt;40",G2:G118,"&gt;0")</f>
        <v>265676.28677419352</v>
      </c>
      <c r="P9" s="21">
        <f>COUNTIFS(D2:D118,"&gt;=30",D2:D118,"&lt;40",G2:G118,"&gt;0")</f>
        <v>31</v>
      </c>
    </row>
    <row r="10" spans="1:17" ht="15.75" customHeight="1">
      <c r="A10" s="16" t="s">
        <v>607</v>
      </c>
      <c r="B10" s="12" t="s">
        <v>574</v>
      </c>
      <c r="C10" s="13">
        <v>23623</v>
      </c>
      <c r="D10" s="12">
        <f t="shared" si="0"/>
        <v>55</v>
      </c>
      <c r="E10" s="12" t="s">
        <v>608</v>
      </c>
      <c r="F10" s="12" t="s">
        <v>586</v>
      </c>
      <c r="G10" s="14">
        <v>928015</v>
      </c>
      <c r="J10" s="17" t="s">
        <v>609</v>
      </c>
      <c r="K10" s="12">
        <f>COUNTIFS(D2:D118,"&gt;=40",D2:D118,"&lt;50")</f>
        <v>30</v>
      </c>
      <c r="L10" s="18">
        <f t="shared" si="2"/>
        <v>0.27027027027027029</v>
      </c>
      <c r="M10" s="19">
        <f>SUMIFS(G2:G118,D2:D118,"&gt;=40",D2:D118,"&lt;50")</f>
        <v>10741488.870000001</v>
      </c>
      <c r="N10" s="20">
        <f t="shared" si="3"/>
        <v>0.33524140021376203</v>
      </c>
      <c r="O10" s="19">
        <f>M10/COUNTIFS(D2:D118,"&gt;=40",D2:D118,"&lt;50",G2:G118,"&gt;0")</f>
        <v>370396.16793103452</v>
      </c>
      <c r="P10" s="21">
        <f>COUNTIFS(D2:D118,"&gt;=40",D2:D118,"&lt;50",G2:G118,"&gt;0")</f>
        <v>29</v>
      </c>
    </row>
    <row r="11" spans="1:17" ht="15.75" customHeight="1">
      <c r="A11" s="16" t="s">
        <v>610</v>
      </c>
      <c r="B11" s="12" t="s">
        <v>574</v>
      </c>
      <c r="C11" s="13">
        <v>31602</v>
      </c>
      <c r="D11" s="12">
        <f t="shared" si="0"/>
        <v>33</v>
      </c>
      <c r="E11" s="12" t="s">
        <v>611</v>
      </c>
      <c r="F11" s="12" t="s">
        <v>586</v>
      </c>
      <c r="G11" s="14">
        <v>449686</v>
      </c>
      <c r="J11" s="17" t="s">
        <v>612</v>
      </c>
      <c r="K11" s="12">
        <f>COUNTIFS(D2:D118,"&gt;=50",D2:D118,"&lt;60")</f>
        <v>22</v>
      </c>
      <c r="L11" s="18">
        <f t="shared" si="2"/>
        <v>0.1981981981981982</v>
      </c>
      <c r="M11" s="19">
        <f>SUMIFS(G2:G118,D2:D118,"&gt;=50",D2:D118,"&lt;60")</f>
        <v>7064823.4100000001</v>
      </c>
      <c r="N11" s="20">
        <f t="shared" si="3"/>
        <v>0.2204928311983034</v>
      </c>
      <c r="O11" s="19">
        <f>M11/COUNTIFS(D2:D118,"&gt;=50",D2:D118,"&lt;60",G2:G118,"&gt;0")</f>
        <v>336420.16238095239</v>
      </c>
      <c r="P11" s="24">
        <f>COUNTIFS(D2:D118,"&gt;=50",D2:D118,"&lt;60",G2:G118,"&gt;0")</f>
        <v>21</v>
      </c>
    </row>
    <row r="12" spans="1:17" ht="15.75" customHeight="1">
      <c r="A12" s="16" t="s">
        <v>613</v>
      </c>
      <c r="B12" s="12" t="s">
        <v>574</v>
      </c>
      <c r="C12" s="13">
        <v>24295</v>
      </c>
      <c r="D12" s="12">
        <f t="shared" si="0"/>
        <v>53</v>
      </c>
      <c r="E12" s="12" t="s">
        <v>614</v>
      </c>
      <c r="F12" s="12" t="s">
        <v>586</v>
      </c>
      <c r="G12" s="14">
        <v>174816</v>
      </c>
      <c r="J12" s="17" t="s">
        <v>615</v>
      </c>
      <c r="K12" s="12">
        <f>COUNTIFS(D2:D118,"&gt;=60",D2:D118,"&lt;70")</f>
        <v>16</v>
      </c>
      <c r="L12" s="18">
        <f t="shared" si="2"/>
        <v>0.14414414414414414</v>
      </c>
      <c r="M12" s="19">
        <f>SUMIFS(G2:G118,D2:D118,"&gt;=60",D2:D118,"&lt;70")</f>
        <v>3714393.58</v>
      </c>
      <c r="N12" s="20">
        <f t="shared" si="3"/>
        <v>0.11592606199890874</v>
      </c>
      <c r="O12" s="19">
        <f>M12/COUNTIFS(D2:D118,"&gt;=60",D2:D118,"&lt;70",G2:G118,"&gt;0")</f>
        <v>247626.23866666667</v>
      </c>
      <c r="P12" s="24">
        <f>COUNTIFS(D2:D118,"&gt;=60",D2:D118,"&lt;70",G2:G118,"&gt;0")</f>
        <v>15</v>
      </c>
    </row>
    <row r="13" spans="1:17" ht="15.75" customHeight="1">
      <c r="A13" s="16" t="s">
        <v>616</v>
      </c>
      <c r="B13" s="12" t="s">
        <v>584</v>
      </c>
      <c r="C13" s="13">
        <v>13520</v>
      </c>
      <c r="D13" s="12">
        <f t="shared" si="0"/>
        <v>82</v>
      </c>
      <c r="E13" s="12" t="s">
        <v>617</v>
      </c>
      <c r="F13" s="12" t="s">
        <v>618</v>
      </c>
      <c r="G13" s="14">
        <v>147417</v>
      </c>
      <c r="J13" s="17" t="s">
        <v>619</v>
      </c>
      <c r="K13" s="12">
        <f>COUNTIFS(D2:D118,"&gt;70",D2:D118,"&lt;80")</f>
        <v>3</v>
      </c>
      <c r="L13" s="18">
        <f t="shared" si="2"/>
        <v>2.7027027027027029E-2</v>
      </c>
      <c r="M13" s="19">
        <f>SUMIFS(G2:G118,D2:D118,"&gt;=70",D2:D118,"&lt;80")</f>
        <v>1436366.01</v>
      </c>
      <c r="N13" s="20">
        <f t="shared" si="3"/>
        <v>4.4828920668225247E-2</v>
      </c>
      <c r="O13" s="19">
        <f>M13/COUNTIFS(D2:D118,"&gt;=70",D2:D118,"&lt;80",G2:G118,"&gt;0")</f>
        <v>478788.67</v>
      </c>
      <c r="P13" s="24">
        <f>COUNTIFS(D2:D118,"&gt;=70",D2:D118,"&lt;80",G2:G118,"&gt;0")</f>
        <v>3</v>
      </c>
    </row>
    <row r="14" spans="1:17" ht="15.75" customHeight="1">
      <c r="A14" s="16" t="s">
        <v>620</v>
      </c>
      <c r="B14" s="12" t="s">
        <v>584</v>
      </c>
      <c r="C14" s="13">
        <v>23066</v>
      </c>
      <c r="D14" s="12">
        <f t="shared" si="0"/>
        <v>56</v>
      </c>
      <c r="E14" s="12" t="s">
        <v>585</v>
      </c>
      <c r="F14" s="12" t="s">
        <v>586</v>
      </c>
      <c r="G14" s="14">
        <v>31376</v>
      </c>
      <c r="J14" s="17" t="s">
        <v>621</v>
      </c>
      <c r="K14" s="12">
        <f>COUNTIFS(D2:D118,"&gt;80",D2:D118,"&lt;90")</f>
        <v>2</v>
      </c>
      <c r="L14" s="18">
        <f t="shared" si="2"/>
        <v>1.8018018018018018E-2</v>
      </c>
      <c r="M14" s="19">
        <f>SUMIFS(G2:G118,D2:D118,"&gt;=80",D2:D118,"&lt;90")</f>
        <v>267288</v>
      </c>
      <c r="N14" s="20">
        <f t="shared" si="3"/>
        <v>8.3420468488867895E-3</v>
      </c>
      <c r="O14" s="19">
        <f>M14/COUNTIFS(D2:D118,"&gt;=80",D2:D118,"&lt;90",G2:G118,"&gt;0")</f>
        <v>133644</v>
      </c>
      <c r="P14" s="24">
        <f>COUNTIFS(D2:D118,"&gt;=80",D2:D118,"&lt;90",G2:G118,"&gt;0")</f>
        <v>2</v>
      </c>
      <c r="Q14" s="24" t="s">
        <v>92</v>
      </c>
    </row>
    <row r="15" spans="1:17" ht="15.75" customHeight="1">
      <c r="A15" s="25" t="s">
        <v>622</v>
      </c>
      <c r="B15" s="12" t="s">
        <v>584</v>
      </c>
      <c r="C15" s="13"/>
      <c r="D15" s="12"/>
      <c r="E15" s="12" t="s">
        <v>602</v>
      </c>
      <c r="F15" s="12"/>
      <c r="G15" s="14">
        <v>0</v>
      </c>
      <c r="J15" s="17" t="s">
        <v>575</v>
      </c>
      <c r="K15" s="12">
        <f>SUM(K8:K14)</f>
        <v>111</v>
      </c>
      <c r="L15" s="18">
        <f t="shared" si="2"/>
        <v>1</v>
      </c>
      <c r="M15" s="19">
        <f>SUM(M8:M14)</f>
        <v>32041057.170000006</v>
      </c>
      <c r="N15" s="20">
        <f t="shared" si="3"/>
        <v>1</v>
      </c>
      <c r="O15" s="19">
        <f>M15/COUNTIFS(G2:G118,"&gt;0")</f>
        <v>296676.4552777778</v>
      </c>
      <c r="P15" s="24">
        <f>SUM(P8:P14)</f>
        <v>106</v>
      </c>
    </row>
    <row r="16" spans="1:17" ht="15.75" customHeight="1">
      <c r="A16" s="17" t="s">
        <v>623</v>
      </c>
      <c r="B16" s="12" t="s">
        <v>574</v>
      </c>
      <c r="C16" s="13">
        <v>29816</v>
      </c>
      <c r="D16" s="12">
        <f t="shared" ref="D16:D53" si="4">DATEDIF(C16,$C$121,"Y")</f>
        <v>38</v>
      </c>
      <c r="E16" s="12" t="s">
        <v>611</v>
      </c>
      <c r="F16" s="12" t="s">
        <v>586</v>
      </c>
      <c r="G16" s="14">
        <v>101819</v>
      </c>
    </row>
    <row r="17" spans="1:18" ht="15.75" customHeight="1">
      <c r="A17" s="16" t="s">
        <v>624</v>
      </c>
      <c r="B17" s="12" t="s">
        <v>574</v>
      </c>
      <c r="C17" s="13">
        <v>31091</v>
      </c>
      <c r="D17" s="12">
        <f t="shared" si="4"/>
        <v>34</v>
      </c>
      <c r="E17" s="12" t="s">
        <v>611</v>
      </c>
      <c r="F17" s="12" t="s">
        <v>586</v>
      </c>
      <c r="G17" s="14">
        <v>35841.42</v>
      </c>
      <c r="J17" s="10" t="s">
        <v>580</v>
      </c>
      <c r="K17" s="12" t="s">
        <v>575</v>
      </c>
      <c r="L17" s="12" t="s">
        <v>587</v>
      </c>
      <c r="M17" s="12" t="s">
        <v>625</v>
      </c>
      <c r="N17" s="12" t="s">
        <v>587</v>
      </c>
      <c r="O17" s="12" t="s">
        <v>589</v>
      </c>
      <c r="R17" s="24" t="s">
        <v>92</v>
      </c>
    </row>
    <row r="18" spans="1:18" ht="15.75" customHeight="1">
      <c r="A18" s="16" t="s">
        <v>626</v>
      </c>
      <c r="B18" s="12" t="s">
        <v>584</v>
      </c>
      <c r="C18" s="13">
        <v>31386</v>
      </c>
      <c r="D18" s="12">
        <f t="shared" si="4"/>
        <v>34</v>
      </c>
      <c r="E18" s="12" t="s">
        <v>627</v>
      </c>
      <c r="F18" s="12" t="s">
        <v>586</v>
      </c>
      <c r="G18" s="14">
        <v>215750</v>
      </c>
      <c r="J18" s="17" t="s">
        <v>585</v>
      </c>
      <c r="K18" s="12">
        <f>COUNTIF(E2:E118,"Funcionário Público")+COUNTIF(E2:E118,"Funcionária Pública")</f>
        <v>20</v>
      </c>
      <c r="L18" s="18">
        <f t="shared" ref="L18:L28" si="5">K18/$K$28</f>
        <v>0.21978021978021978</v>
      </c>
      <c r="M18" s="19">
        <f>SUMIFS(G2:G118,E2:E118,"Funcionária Pública")+SUMIFS(G2:G118,E2:E118,"Funcionário Público")</f>
        <v>4127437.4699999997</v>
      </c>
      <c r="N18" s="20">
        <f t="shared" ref="N18:N28" si="6">M18/$M$28</f>
        <v>0.12958903055072343</v>
      </c>
      <c r="O18" s="19">
        <f>M18/(COUNTIFS(G2:G118,"&gt;0",E2:E118,"Funcionário Público")+COUNTIFS(G2:G118,"&gt;0",E2:E118,"Funcionária Pública"))</f>
        <v>206371.87349999999</v>
      </c>
      <c r="P18" s="24">
        <f>(COUNTIFS(G2:G118,"&gt;0",E2:E118,"Funcionário Público")+COUNTIFS(G2:G118,"&gt;0",E2:E118,"Funcionária Pública"))</f>
        <v>20</v>
      </c>
    </row>
    <row r="19" spans="1:18" ht="15.75" customHeight="1">
      <c r="A19" s="16" t="s">
        <v>628</v>
      </c>
      <c r="B19" s="12" t="s">
        <v>584</v>
      </c>
      <c r="C19" s="13">
        <v>23072</v>
      </c>
      <c r="D19" s="12">
        <f t="shared" si="4"/>
        <v>56</v>
      </c>
      <c r="E19" s="12" t="s">
        <v>629</v>
      </c>
      <c r="F19" s="12" t="s">
        <v>586</v>
      </c>
      <c r="G19" s="14">
        <v>132923</v>
      </c>
      <c r="J19" s="17" t="s">
        <v>602</v>
      </c>
      <c r="K19" s="12">
        <f>COUNTIF(E2:E118,"Empresário")+COUNTIF(E2:E118,"Empresária")</f>
        <v>0</v>
      </c>
      <c r="L19" s="18">
        <f t="shared" si="5"/>
        <v>0</v>
      </c>
      <c r="M19" s="19">
        <f>SUMIFS(G2:G118,E2:E118,"Empresária")+SUMIFS(G2:G118,E2:E118,"Empresário")</f>
        <v>0</v>
      </c>
      <c r="N19" s="20">
        <f t="shared" si="6"/>
        <v>0</v>
      </c>
      <c r="O19" s="19" t="e">
        <f>M19/(COUNTIFS(G2:G118,"&gt;0",E2:E118,"Empresário")+COUNTIFS(G2:G118,"&gt;0",E2:E118,"Empresária"))</f>
        <v>#DIV/0!</v>
      </c>
    </row>
    <row r="20" spans="1:18" ht="15.75" customHeight="1">
      <c r="A20" s="16" t="s">
        <v>630</v>
      </c>
      <c r="B20" s="12" t="s">
        <v>584</v>
      </c>
      <c r="C20" s="13">
        <v>29186</v>
      </c>
      <c r="D20" s="12">
        <f t="shared" si="4"/>
        <v>40</v>
      </c>
      <c r="E20" s="12" t="s">
        <v>605</v>
      </c>
      <c r="F20" s="12" t="s">
        <v>586</v>
      </c>
      <c r="G20" s="14">
        <f>707418+847182</f>
        <v>1554600</v>
      </c>
      <c r="J20" s="17" t="s">
        <v>605</v>
      </c>
      <c r="K20" s="12">
        <f>COUNTIF(E4:E120,"Advogado")+COUNTIF(E4:E120,"Advogada")</f>
        <v>12</v>
      </c>
      <c r="L20" s="18">
        <f t="shared" si="5"/>
        <v>0.13186813186813187</v>
      </c>
      <c r="M20" s="19">
        <f>SUMIFS(G2:G118,E2:E118,"Advogado")+SUMIFS(G2:G118,E2:E118,"Advogada")</f>
        <v>4618016.6900000004</v>
      </c>
      <c r="N20" s="20">
        <f t="shared" si="6"/>
        <v>0.14499173161893131</v>
      </c>
      <c r="O20" s="19">
        <f>M20/(COUNTIFS(G2:G118,"&gt;0",E2:E118,"Advogada")+COUNTIFS(G2:G118,"&gt;0",E2:E118,"Advogado"))</f>
        <v>384834.72416666668</v>
      </c>
    </row>
    <row r="21" spans="1:18" ht="15.75" customHeight="1">
      <c r="A21" s="17" t="s">
        <v>631</v>
      </c>
      <c r="B21" s="12" t="s">
        <v>574</v>
      </c>
      <c r="C21" s="13">
        <v>30936</v>
      </c>
      <c r="D21" s="12">
        <f t="shared" si="4"/>
        <v>35</v>
      </c>
      <c r="E21" s="12" t="s">
        <v>632</v>
      </c>
      <c r="F21" s="12" t="s">
        <v>586</v>
      </c>
      <c r="G21" s="14">
        <v>511766</v>
      </c>
      <c r="H21" s="24"/>
      <c r="I21" s="24"/>
      <c r="J21" s="17" t="s">
        <v>594</v>
      </c>
      <c r="K21" s="12">
        <f>COUNTIF(E5:E121,"Dentista")</f>
        <v>8</v>
      </c>
      <c r="L21" s="18">
        <f t="shared" si="5"/>
        <v>8.7912087912087919E-2</v>
      </c>
      <c r="M21" s="19">
        <f>SUMIFS(G2:G118,E2:E118,"Dentista")</f>
        <v>1244788.1099999999</v>
      </c>
      <c r="N21" s="20">
        <f t="shared" si="6"/>
        <v>3.9082574984707706E-2</v>
      </c>
      <c r="O21" s="19">
        <f>M21/(COUNTIFS(G2:G118,"&gt;0",E2:E118,"Dentista"))</f>
        <v>155598.51374999998</v>
      </c>
    </row>
    <row r="22" spans="1:18" ht="15.75" customHeight="1">
      <c r="A22" s="16" t="s">
        <v>633</v>
      </c>
      <c r="B22" s="12" t="s">
        <v>584</v>
      </c>
      <c r="C22" s="13">
        <v>26191</v>
      </c>
      <c r="D22" s="12">
        <f t="shared" si="4"/>
        <v>48</v>
      </c>
      <c r="E22" s="12" t="s">
        <v>634</v>
      </c>
      <c r="F22" s="12" t="s">
        <v>586</v>
      </c>
      <c r="G22" s="14">
        <v>916562</v>
      </c>
      <c r="J22" s="17" t="s">
        <v>627</v>
      </c>
      <c r="K22" s="12">
        <f>COUNTIF(E6:E122,"Médico")+COUNTIF(E6:E122,"Médica")</f>
        <v>13</v>
      </c>
      <c r="L22" s="18">
        <f t="shared" si="5"/>
        <v>0.14285714285714285</v>
      </c>
      <c r="M22" s="19">
        <f>SUMIFS(G2:G118,E2:E118,"Médico")+SUMIFS(G2:G118,E2:E118,"Médica")</f>
        <v>4432285.66</v>
      </c>
      <c r="N22" s="20">
        <f t="shared" si="6"/>
        <v>0.13916034003618072</v>
      </c>
      <c r="O22" s="19">
        <f>M22/(COUNTIFS(G2:G118,"&gt;0",E2:E118,"Médico")+COUNTIFS(G2:G118,"&gt;0",E2:E118,"Médica"))</f>
        <v>369357.13833333337</v>
      </c>
    </row>
    <row r="23" spans="1:18" ht="15.75" customHeight="1">
      <c r="A23" s="16" t="s">
        <v>635</v>
      </c>
      <c r="B23" s="12" t="s">
        <v>584</v>
      </c>
      <c r="C23" s="13">
        <v>32417</v>
      </c>
      <c r="D23" s="12">
        <f t="shared" si="4"/>
        <v>31</v>
      </c>
      <c r="E23" s="12" t="s">
        <v>602</v>
      </c>
      <c r="F23" s="12" t="s">
        <v>586</v>
      </c>
      <c r="G23" s="14">
        <v>332795</v>
      </c>
      <c r="J23" s="17" t="s">
        <v>636</v>
      </c>
      <c r="K23" s="12">
        <f>COUNTIF(E7:E123,"Administrador")+COUNTIF(E7:E123,"Administradora")</f>
        <v>4</v>
      </c>
      <c r="L23" s="18">
        <f t="shared" si="5"/>
        <v>4.3956043956043959E-2</v>
      </c>
      <c r="M23" s="19">
        <f>SUMIFS(G2:G118,E2:E118,"Administradora")+SUMIFS(G2:G118,E2:E118,"Administrador")</f>
        <v>1272485.1700000002</v>
      </c>
      <c r="N23" s="20">
        <f t="shared" si="6"/>
        <v>3.9952178747476585E-2</v>
      </c>
      <c r="O23" s="19">
        <f>M23/(COUNTIFS(G2:G118,"&gt;0",E2:E118,"Administrador")+COUNTIFS(G2:G118,"&gt;0",E2:E118,"Administradora"))</f>
        <v>318121.29250000004</v>
      </c>
      <c r="Q23" s="24" t="s">
        <v>92</v>
      </c>
    </row>
    <row r="24" spans="1:18" ht="15.75" customHeight="1">
      <c r="A24" s="16" t="s">
        <v>637</v>
      </c>
      <c r="B24" s="12" t="s">
        <v>574</v>
      </c>
      <c r="C24" s="13">
        <v>26324</v>
      </c>
      <c r="D24" s="12">
        <f t="shared" si="4"/>
        <v>47</v>
      </c>
      <c r="E24" s="12" t="s">
        <v>611</v>
      </c>
      <c r="F24" s="12" t="s">
        <v>586</v>
      </c>
      <c r="G24" s="14">
        <v>191406</v>
      </c>
      <c r="J24" s="17" t="s">
        <v>629</v>
      </c>
      <c r="K24" s="12">
        <f>COUNTIF(E8:E124,"Engenheiro")+COUNTIF(E8:E124,"Engenheira")</f>
        <v>6</v>
      </c>
      <c r="L24" s="18">
        <f t="shared" si="5"/>
        <v>6.5934065934065936E-2</v>
      </c>
      <c r="M24" s="19">
        <f>SUMIFS(G2:G118,E2:E118,"Engenheira")+SUMIFS(G2:G118,E2:E118,"Engenheiro")</f>
        <v>1370551.77</v>
      </c>
      <c r="N24" s="20">
        <f t="shared" si="6"/>
        <v>4.3031172848725943E-2</v>
      </c>
      <c r="O24" s="19">
        <f>M24/(COUNTIFS(G2:G118,"&gt;0",E2:E118,"Engenheiro")+COUNTIFS(G2:G118,"&gt;0",E2:E118,"Engenheira"))</f>
        <v>228425.29500000001</v>
      </c>
      <c r="Q24" s="24" t="s">
        <v>92</v>
      </c>
    </row>
    <row r="25" spans="1:18" ht="15.75" customHeight="1">
      <c r="A25" s="16" t="s">
        <v>638</v>
      </c>
      <c r="B25" s="12" t="s">
        <v>574</v>
      </c>
      <c r="C25" s="13">
        <v>24529</v>
      </c>
      <c r="D25" s="12">
        <f t="shared" si="4"/>
        <v>52</v>
      </c>
      <c r="E25" s="12" t="s">
        <v>639</v>
      </c>
      <c r="F25" s="12" t="s">
        <v>586</v>
      </c>
      <c r="G25" s="14">
        <v>91137</v>
      </c>
      <c r="J25" s="17" t="s">
        <v>617</v>
      </c>
      <c r="K25" s="12">
        <f>COUNTIF(E9:E125,"Aposentado")+COUNTIF(E9:E125,"Aposentada")</f>
        <v>8</v>
      </c>
      <c r="L25" s="18">
        <f t="shared" si="5"/>
        <v>8.7912087912087919E-2</v>
      </c>
      <c r="M25" s="19">
        <f>SUMIFS(G2:G118,E2:E118,"Aposentada")+SUMIFS(G2:G118,E2:E118,"Aposentado")</f>
        <v>2458722</v>
      </c>
      <c r="N25" s="20">
        <f t="shared" si="6"/>
        <v>7.7196420948743252E-2</v>
      </c>
      <c r="O25" s="19">
        <f>M25/(COUNTIFS(G2:G118,"&gt;0",E2:E118,"Aposentado")+COUNTIFS(G2:G118,"&gt;0",E2:E118,"Aposentada"))</f>
        <v>351246</v>
      </c>
    </row>
    <row r="26" spans="1:18" ht="15.75" customHeight="1">
      <c r="A26" s="23" t="s">
        <v>640</v>
      </c>
      <c r="B26" s="12" t="s">
        <v>584</v>
      </c>
      <c r="C26" s="13">
        <v>28883</v>
      </c>
      <c r="D26" s="12">
        <f t="shared" si="4"/>
        <v>40</v>
      </c>
      <c r="E26" s="12" t="s">
        <v>627</v>
      </c>
      <c r="F26" s="12" t="s">
        <v>586</v>
      </c>
      <c r="G26" s="14">
        <v>271013.45</v>
      </c>
      <c r="J26" s="17" t="s">
        <v>641</v>
      </c>
      <c r="K26" s="12">
        <f>COUNTIF(E9:E125,"Autônomo")+COUNTIF(E9:E125,"Autônoma")</f>
        <v>4</v>
      </c>
      <c r="L26" s="18">
        <f t="shared" si="5"/>
        <v>4.3956043956043959E-2</v>
      </c>
      <c r="M26" s="19">
        <f>SUMIFS(G2:G118,E2:E118,"Autônomo")+SUMIFS(G2:G118,E2:E118,"Autônoma")</f>
        <v>1175824.71</v>
      </c>
      <c r="N26" s="20">
        <f t="shared" si="6"/>
        <v>3.691733318166672E-2</v>
      </c>
      <c r="O26" s="19">
        <f>M26/(COUNTIFS(G2:G118,"&gt;0",E2:E118,"Autônomo")+COUNTIFS(G2:G118,"&gt;0",E2:E118,"Autônoma"))</f>
        <v>293956.17749999999</v>
      </c>
    </row>
    <row r="27" spans="1:18" ht="15.75" customHeight="1">
      <c r="A27" s="16" t="s">
        <v>642</v>
      </c>
      <c r="B27" s="12" t="s">
        <v>574</v>
      </c>
      <c r="C27" s="13">
        <v>22919</v>
      </c>
      <c r="D27" s="12">
        <f t="shared" si="4"/>
        <v>57</v>
      </c>
      <c r="E27" s="12" t="s">
        <v>611</v>
      </c>
      <c r="F27" s="12" t="s">
        <v>586</v>
      </c>
      <c r="G27" s="14">
        <v>187575</v>
      </c>
      <c r="J27" s="17" t="s">
        <v>643</v>
      </c>
      <c r="K27" s="12">
        <v>16</v>
      </c>
      <c r="L27" s="18">
        <f t="shared" si="5"/>
        <v>0.17582417582417584</v>
      </c>
      <c r="M27" s="19">
        <f>M28-SUM(M18:M26)</f>
        <v>11150095.589999992</v>
      </c>
      <c r="N27" s="20">
        <f t="shared" si="6"/>
        <v>0.35007921708284429</v>
      </c>
      <c r="O27" s="19">
        <f>M27/15</f>
        <v>743339.70599999954</v>
      </c>
    </row>
    <row r="28" spans="1:18" ht="15.75" customHeight="1">
      <c r="A28" s="25" t="s">
        <v>644</v>
      </c>
      <c r="B28" s="12" t="s">
        <v>574</v>
      </c>
      <c r="C28" s="13">
        <v>25781</v>
      </c>
      <c r="D28" s="12">
        <f t="shared" si="4"/>
        <v>49</v>
      </c>
      <c r="E28" s="12"/>
      <c r="F28" s="12" t="s">
        <v>586</v>
      </c>
      <c r="G28" s="14">
        <v>0</v>
      </c>
      <c r="J28" s="17" t="s">
        <v>575</v>
      </c>
      <c r="K28" s="12">
        <f>SUM(K18:K27)</f>
        <v>91</v>
      </c>
      <c r="L28" s="18">
        <f t="shared" si="5"/>
        <v>1</v>
      </c>
      <c r="M28" s="19">
        <f>SUMIFS(G2:G118,E2:E118,"&lt;&gt;")</f>
        <v>31850207.169999994</v>
      </c>
      <c r="N28" s="20">
        <f t="shared" si="6"/>
        <v>1</v>
      </c>
      <c r="O28" s="19">
        <f>M28/K28</f>
        <v>350002.27659340651</v>
      </c>
    </row>
    <row r="29" spans="1:18" ht="15.75" customHeight="1">
      <c r="A29" s="17" t="s">
        <v>645</v>
      </c>
      <c r="B29" s="12" t="s">
        <v>584</v>
      </c>
      <c r="C29" s="13">
        <v>27513</v>
      </c>
      <c r="D29" s="12">
        <f t="shared" si="4"/>
        <v>44</v>
      </c>
      <c r="E29" s="12" t="s">
        <v>605</v>
      </c>
      <c r="F29" s="12"/>
      <c r="G29" s="14">
        <v>57062.68</v>
      </c>
    </row>
    <row r="30" spans="1:18" ht="15.75" customHeight="1">
      <c r="A30" s="17" t="s">
        <v>646</v>
      </c>
      <c r="B30" s="12" t="s">
        <v>574</v>
      </c>
      <c r="C30" s="13">
        <v>22401</v>
      </c>
      <c r="D30" s="12">
        <f t="shared" si="4"/>
        <v>58</v>
      </c>
      <c r="E30" s="12" t="s">
        <v>611</v>
      </c>
      <c r="F30" s="12" t="s">
        <v>586</v>
      </c>
      <c r="G30" s="14">
        <v>163478</v>
      </c>
    </row>
    <row r="31" spans="1:18" ht="15.75" customHeight="1">
      <c r="A31" s="25" t="s">
        <v>647</v>
      </c>
      <c r="B31" s="12" t="s">
        <v>574</v>
      </c>
      <c r="C31" s="13">
        <v>19484</v>
      </c>
      <c r="D31" s="12">
        <f t="shared" si="4"/>
        <v>66</v>
      </c>
      <c r="E31" s="12" t="s">
        <v>648</v>
      </c>
      <c r="F31" s="12" t="s">
        <v>586</v>
      </c>
      <c r="G31" s="14">
        <v>0</v>
      </c>
      <c r="J31" s="10" t="s">
        <v>582</v>
      </c>
    </row>
    <row r="32" spans="1:18" ht="15.75" customHeight="1">
      <c r="A32" s="16" t="s">
        <v>649</v>
      </c>
      <c r="B32" s="12" t="s">
        <v>584</v>
      </c>
      <c r="C32" s="13">
        <v>25747</v>
      </c>
      <c r="D32" s="12">
        <f t="shared" si="4"/>
        <v>49</v>
      </c>
      <c r="E32" s="12" t="s">
        <v>594</v>
      </c>
      <c r="F32" s="12" t="s">
        <v>586</v>
      </c>
      <c r="G32" s="14">
        <f>205400+183458</f>
        <v>388858</v>
      </c>
    </row>
    <row r="33" spans="1:12" ht="15.75" customHeight="1">
      <c r="A33" s="16" t="s">
        <v>650</v>
      </c>
      <c r="B33" s="12" t="s">
        <v>584</v>
      </c>
      <c r="C33" s="13">
        <v>28151</v>
      </c>
      <c r="D33" s="12">
        <f t="shared" si="4"/>
        <v>42</v>
      </c>
      <c r="E33" s="12" t="s">
        <v>594</v>
      </c>
      <c r="F33" s="12" t="s">
        <v>586</v>
      </c>
      <c r="G33" s="14">
        <v>56328</v>
      </c>
    </row>
    <row r="34" spans="1:12" ht="15.75" customHeight="1">
      <c r="A34" s="17" t="s">
        <v>651</v>
      </c>
      <c r="B34" s="12" t="s">
        <v>584</v>
      </c>
      <c r="C34" s="13">
        <v>27906</v>
      </c>
      <c r="D34" s="12">
        <f t="shared" si="4"/>
        <v>43</v>
      </c>
      <c r="E34" s="12" t="s">
        <v>641</v>
      </c>
      <c r="F34" s="12" t="s">
        <v>586</v>
      </c>
      <c r="G34" s="14">
        <v>257451</v>
      </c>
    </row>
    <row r="35" spans="1:12" ht="15.75" customHeight="1">
      <c r="A35" s="17" t="s">
        <v>652</v>
      </c>
      <c r="B35" s="12" t="s">
        <v>584</v>
      </c>
      <c r="C35" s="13">
        <v>28906</v>
      </c>
      <c r="D35" s="12">
        <f t="shared" si="4"/>
        <v>40</v>
      </c>
      <c r="E35" s="12" t="s">
        <v>605</v>
      </c>
      <c r="F35" s="12" t="s">
        <v>586</v>
      </c>
      <c r="G35" s="14">
        <v>402433</v>
      </c>
    </row>
    <row r="36" spans="1:12" ht="15.75" customHeight="1">
      <c r="A36" s="16" t="s">
        <v>653</v>
      </c>
      <c r="B36" s="12" t="s">
        <v>584</v>
      </c>
      <c r="C36" s="13">
        <v>30587</v>
      </c>
      <c r="D36" s="12">
        <f t="shared" si="4"/>
        <v>36</v>
      </c>
      <c r="E36" s="12" t="s">
        <v>627</v>
      </c>
      <c r="F36" s="12" t="s">
        <v>586</v>
      </c>
      <c r="G36" s="14">
        <f>458323+1000228</f>
        <v>1458551</v>
      </c>
    </row>
    <row r="37" spans="1:12" ht="15.75" customHeight="1">
      <c r="A37" s="16" t="s">
        <v>654</v>
      </c>
      <c r="B37" s="12" t="s">
        <v>574</v>
      </c>
      <c r="C37" s="13">
        <v>15096</v>
      </c>
      <c r="D37" s="12">
        <f t="shared" si="4"/>
        <v>78</v>
      </c>
      <c r="E37" s="12" t="s">
        <v>648</v>
      </c>
      <c r="F37" s="12" t="s">
        <v>586</v>
      </c>
      <c r="G37" s="14">
        <v>179256</v>
      </c>
    </row>
    <row r="38" spans="1:12" ht="15.75" customHeight="1">
      <c r="A38" s="16" t="s">
        <v>655</v>
      </c>
      <c r="B38" s="12" t="s">
        <v>584</v>
      </c>
      <c r="C38" s="13">
        <v>27655</v>
      </c>
      <c r="D38" s="12">
        <f t="shared" si="4"/>
        <v>44</v>
      </c>
      <c r="E38" s="12" t="s">
        <v>629</v>
      </c>
      <c r="F38" s="12" t="s">
        <v>656</v>
      </c>
      <c r="G38" s="14">
        <v>769189</v>
      </c>
      <c r="J38" s="24" t="s">
        <v>92</v>
      </c>
    </row>
    <row r="39" spans="1:12" ht="15.75" customHeight="1">
      <c r="A39" s="16" t="s">
        <v>657</v>
      </c>
      <c r="B39" s="12" t="s">
        <v>584</v>
      </c>
      <c r="C39" s="13">
        <v>31245</v>
      </c>
      <c r="D39" s="12">
        <f t="shared" si="4"/>
        <v>34</v>
      </c>
      <c r="E39" s="12" t="s">
        <v>605</v>
      </c>
      <c r="F39" s="12" t="s">
        <v>586</v>
      </c>
      <c r="G39" s="14">
        <v>166417</v>
      </c>
      <c r="J39" s="24" t="s">
        <v>92</v>
      </c>
      <c r="K39" s="24" t="s">
        <v>92</v>
      </c>
    </row>
    <row r="40" spans="1:12" ht="15.75" customHeight="1">
      <c r="A40" s="17" t="s">
        <v>658</v>
      </c>
      <c r="B40" s="12" t="s">
        <v>584</v>
      </c>
      <c r="C40" s="13">
        <v>28270</v>
      </c>
      <c r="D40" s="12">
        <f t="shared" si="4"/>
        <v>42</v>
      </c>
      <c r="E40" s="12" t="s">
        <v>627</v>
      </c>
      <c r="F40" s="12" t="s">
        <v>586</v>
      </c>
      <c r="G40" s="14">
        <v>208601</v>
      </c>
    </row>
    <row r="41" spans="1:12" ht="15.75" customHeight="1">
      <c r="A41" s="23" t="s">
        <v>426</v>
      </c>
      <c r="B41" s="12" t="s">
        <v>584</v>
      </c>
      <c r="C41" s="13">
        <v>23924</v>
      </c>
      <c r="D41" s="12">
        <f t="shared" si="4"/>
        <v>54</v>
      </c>
      <c r="E41" s="12" t="s">
        <v>605</v>
      </c>
      <c r="F41" s="12"/>
      <c r="G41" s="14">
        <v>278844.53000000003</v>
      </c>
      <c r="J41" s="24" t="s">
        <v>92</v>
      </c>
    </row>
    <row r="42" spans="1:12" ht="15.75" customHeight="1">
      <c r="A42" s="23" t="s">
        <v>659</v>
      </c>
      <c r="B42" s="12" t="s">
        <v>584</v>
      </c>
      <c r="C42" s="13">
        <v>33469</v>
      </c>
      <c r="D42" s="12">
        <f t="shared" si="4"/>
        <v>28</v>
      </c>
      <c r="E42" s="12" t="s">
        <v>585</v>
      </c>
      <c r="F42" s="12" t="s">
        <v>660</v>
      </c>
      <c r="G42" s="14">
        <v>131927</v>
      </c>
      <c r="J42" s="24" t="s">
        <v>92</v>
      </c>
    </row>
    <row r="43" spans="1:12" ht="15.75" customHeight="1">
      <c r="A43" s="16" t="s">
        <v>661</v>
      </c>
      <c r="B43" s="12" t="s">
        <v>584</v>
      </c>
      <c r="C43" s="13">
        <v>25643</v>
      </c>
      <c r="D43" s="12">
        <f t="shared" si="4"/>
        <v>49</v>
      </c>
      <c r="E43" s="12" t="s">
        <v>627</v>
      </c>
      <c r="F43" s="12" t="s">
        <v>586</v>
      </c>
      <c r="G43" s="14">
        <v>506417</v>
      </c>
      <c r="K43" s="24" t="s">
        <v>92</v>
      </c>
      <c r="L43" s="24" t="s">
        <v>92</v>
      </c>
    </row>
    <row r="44" spans="1:12" ht="15.75" customHeight="1">
      <c r="A44" s="23" t="s">
        <v>662</v>
      </c>
      <c r="B44" s="12" t="s">
        <v>584</v>
      </c>
      <c r="C44" s="13">
        <v>32920</v>
      </c>
      <c r="D44" s="12">
        <f t="shared" si="4"/>
        <v>29</v>
      </c>
      <c r="E44" s="12" t="s">
        <v>605</v>
      </c>
      <c r="F44" s="12" t="s">
        <v>586</v>
      </c>
      <c r="G44" s="14">
        <v>123215.73</v>
      </c>
      <c r="K44" s="24" t="s">
        <v>92</v>
      </c>
    </row>
    <row r="45" spans="1:12" ht="15.75" customHeight="1">
      <c r="A45" s="16" t="s">
        <v>663</v>
      </c>
      <c r="B45" s="12" t="s">
        <v>584</v>
      </c>
      <c r="C45" s="13">
        <v>30264</v>
      </c>
      <c r="D45" s="12">
        <f t="shared" si="4"/>
        <v>37</v>
      </c>
      <c r="E45" s="12" t="s">
        <v>602</v>
      </c>
      <c r="F45" s="12" t="s">
        <v>586</v>
      </c>
      <c r="G45" s="14">
        <v>141649</v>
      </c>
    </row>
    <row r="46" spans="1:12" ht="15.75" customHeight="1">
      <c r="A46" s="16" t="s">
        <v>664</v>
      </c>
      <c r="B46" s="12" t="s">
        <v>574</v>
      </c>
      <c r="C46" s="13">
        <v>18097</v>
      </c>
      <c r="D46" s="12">
        <f t="shared" si="4"/>
        <v>70</v>
      </c>
      <c r="E46" s="12" t="s">
        <v>648</v>
      </c>
      <c r="F46" s="12" t="s">
        <v>586</v>
      </c>
      <c r="G46" s="14">
        <f>913577+225360</f>
        <v>1138937</v>
      </c>
    </row>
    <row r="47" spans="1:12" ht="15.75" customHeight="1">
      <c r="A47" s="23" t="s">
        <v>440</v>
      </c>
      <c r="B47" s="12" t="s">
        <v>584</v>
      </c>
      <c r="C47" s="13">
        <v>24085</v>
      </c>
      <c r="D47" s="12">
        <f t="shared" si="4"/>
        <v>54</v>
      </c>
      <c r="E47" s="12" t="s">
        <v>665</v>
      </c>
      <c r="F47" s="12"/>
      <c r="G47" s="14">
        <v>611765.67000000004</v>
      </c>
      <c r="L47" s="24" t="s">
        <v>92</v>
      </c>
    </row>
    <row r="48" spans="1:12" ht="15.75" customHeight="1">
      <c r="A48" s="26" t="s">
        <v>666</v>
      </c>
      <c r="B48" s="12" t="s">
        <v>574</v>
      </c>
      <c r="C48" s="13">
        <v>31943</v>
      </c>
      <c r="D48" s="12">
        <f t="shared" si="4"/>
        <v>32</v>
      </c>
      <c r="E48" s="12" t="s">
        <v>667</v>
      </c>
      <c r="F48" s="12" t="s">
        <v>586</v>
      </c>
      <c r="G48" s="14">
        <v>275126</v>
      </c>
    </row>
    <row r="49" spans="1:11" ht="15.75" customHeight="1">
      <c r="A49" s="26" t="s">
        <v>668</v>
      </c>
      <c r="B49" s="12" t="s">
        <v>584</v>
      </c>
      <c r="C49" s="13">
        <v>26994</v>
      </c>
      <c r="D49" s="12">
        <f t="shared" si="4"/>
        <v>46</v>
      </c>
      <c r="E49" s="12" t="s">
        <v>602</v>
      </c>
      <c r="F49" s="12" t="s">
        <v>586</v>
      </c>
      <c r="G49" s="14">
        <v>395619</v>
      </c>
    </row>
    <row r="50" spans="1:11" ht="15.75" customHeight="1">
      <c r="A50" s="26" t="s">
        <v>669</v>
      </c>
      <c r="B50" s="12" t="s">
        <v>584</v>
      </c>
      <c r="C50" s="13">
        <v>32175</v>
      </c>
      <c r="D50" s="12">
        <f t="shared" si="4"/>
        <v>31</v>
      </c>
      <c r="E50" s="12" t="s">
        <v>602</v>
      </c>
      <c r="F50" s="12" t="s">
        <v>586</v>
      </c>
      <c r="G50" s="14">
        <v>125506</v>
      </c>
      <c r="J50" s="24" t="s">
        <v>92</v>
      </c>
    </row>
    <row r="51" spans="1:11" ht="15.75" customHeight="1">
      <c r="A51" s="27" t="s">
        <v>670</v>
      </c>
      <c r="B51" s="12" t="s">
        <v>584</v>
      </c>
      <c r="C51" s="13">
        <v>29879</v>
      </c>
      <c r="D51" s="12">
        <f t="shared" si="4"/>
        <v>38</v>
      </c>
      <c r="E51" s="12" t="s">
        <v>627</v>
      </c>
      <c r="F51" s="12" t="s">
        <v>586</v>
      </c>
      <c r="G51" s="14">
        <f>165123+165077</f>
        <v>330200</v>
      </c>
      <c r="J51" s="24" t="s">
        <v>92</v>
      </c>
    </row>
    <row r="52" spans="1:11" ht="15.75" customHeight="1">
      <c r="A52" s="16" t="s">
        <v>671</v>
      </c>
      <c r="B52" s="12" t="s">
        <v>584</v>
      </c>
      <c r="C52" s="13">
        <v>22158</v>
      </c>
      <c r="D52" s="12">
        <f t="shared" si="4"/>
        <v>59</v>
      </c>
      <c r="E52" s="12" t="s">
        <v>672</v>
      </c>
      <c r="F52" s="12" t="s">
        <v>586</v>
      </c>
      <c r="G52" s="14">
        <v>167058</v>
      </c>
    </row>
    <row r="53" spans="1:11" ht="15.75" customHeight="1">
      <c r="A53" s="26" t="s">
        <v>673</v>
      </c>
      <c r="B53" s="12" t="s">
        <v>584</v>
      </c>
      <c r="C53" s="13">
        <v>13343</v>
      </c>
      <c r="D53" s="12">
        <f t="shared" si="4"/>
        <v>83</v>
      </c>
      <c r="E53" s="12" t="s">
        <v>617</v>
      </c>
      <c r="F53" s="12" t="s">
        <v>586</v>
      </c>
      <c r="G53" s="14">
        <v>119871</v>
      </c>
      <c r="J53" s="24" t="s">
        <v>92</v>
      </c>
    </row>
    <row r="54" spans="1:11" ht="15.75" customHeight="1">
      <c r="A54" s="28" t="s">
        <v>674</v>
      </c>
      <c r="B54" s="12" t="s">
        <v>574</v>
      </c>
      <c r="C54" s="13"/>
      <c r="D54" s="12"/>
      <c r="E54" s="12" t="s">
        <v>675</v>
      </c>
      <c r="F54" s="12"/>
      <c r="G54" s="14">
        <v>0</v>
      </c>
    </row>
    <row r="55" spans="1:11" ht="15.75" customHeight="1">
      <c r="A55" s="27" t="s">
        <v>676</v>
      </c>
      <c r="B55" s="12" t="s">
        <v>584</v>
      </c>
      <c r="C55" s="13">
        <v>23916</v>
      </c>
      <c r="D55" s="12">
        <f t="shared" ref="D55:D78" si="7">DATEDIF(C55,$C$121,"Y")</f>
        <v>54</v>
      </c>
      <c r="E55" s="12" t="s">
        <v>602</v>
      </c>
      <c r="F55" s="12" t="s">
        <v>586</v>
      </c>
      <c r="G55" s="14">
        <v>314725</v>
      </c>
    </row>
    <row r="56" spans="1:11" ht="15.75" customHeight="1">
      <c r="A56" s="27" t="s">
        <v>677</v>
      </c>
      <c r="B56" s="12" t="s">
        <v>584</v>
      </c>
      <c r="C56" s="13">
        <v>29508</v>
      </c>
      <c r="D56" s="12">
        <f t="shared" si="7"/>
        <v>39</v>
      </c>
      <c r="E56" s="12" t="s">
        <v>634</v>
      </c>
      <c r="F56" s="12" t="s">
        <v>586</v>
      </c>
      <c r="G56" s="14">
        <v>105215.56</v>
      </c>
    </row>
    <row r="57" spans="1:11" ht="15.75" customHeight="1">
      <c r="A57" s="26" t="s">
        <v>678</v>
      </c>
      <c r="B57" s="12" t="s">
        <v>584</v>
      </c>
      <c r="C57" s="13">
        <v>31417</v>
      </c>
      <c r="D57" s="12">
        <f t="shared" si="7"/>
        <v>33</v>
      </c>
      <c r="E57" s="12" t="s">
        <v>602</v>
      </c>
      <c r="F57" s="12" t="s">
        <v>586</v>
      </c>
      <c r="G57" s="14">
        <f>360253+251068</f>
        <v>611321</v>
      </c>
    </row>
    <row r="58" spans="1:11" ht="15.75" customHeight="1">
      <c r="A58" s="26" t="s">
        <v>679</v>
      </c>
      <c r="B58" s="12" t="s">
        <v>574</v>
      </c>
      <c r="C58" s="13">
        <v>27619</v>
      </c>
      <c r="D58" s="12">
        <f t="shared" si="7"/>
        <v>44</v>
      </c>
      <c r="E58" s="12" t="s">
        <v>611</v>
      </c>
      <c r="F58" s="12" t="s">
        <v>586</v>
      </c>
      <c r="G58" s="14">
        <v>189120</v>
      </c>
    </row>
    <row r="59" spans="1:11" ht="15.75" customHeight="1">
      <c r="A59" s="27" t="s">
        <v>680</v>
      </c>
      <c r="B59" s="12" t="s">
        <v>574</v>
      </c>
      <c r="C59" s="13">
        <v>21213</v>
      </c>
      <c r="D59" s="12">
        <f t="shared" si="7"/>
        <v>61</v>
      </c>
      <c r="E59" s="12" t="s">
        <v>594</v>
      </c>
      <c r="F59" s="12" t="s">
        <v>656</v>
      </c>
      <c r="G59" s="14">
        <v>16764.63</v>
      </c>
    </row>
    <row r="60" spans="1:11" ht="15.75" customHeight="1">
      <c r="A60" s="26" t="s">
        <v>681</v>
      </c>
      <c r="B60" s="12" t="s">
        <v>584</v>
      </c>
      <c r="C60" s="13">
        <v>20736</v>
      </c>
      <c r="D60" s="12">
        <f t="shared" si="7"/>
        <v>63</v>
      </c>
      <c r="E60" s="12"/>
      <c r="F60" s="12" t="s">
        <v>586</v>
      </c>
      <c r="G60" s="14">
        <v>129393</v>
      </c>
    </row>
    <row r="61" spans="1:11" ht="15.75" customHeight="1">
      <c r="A61" s="29" t="s">
        <v>682</v>
      </c>
      <c r="B61" s="12" t="s">
        <v>584</v>
      </c>
      <c r="C61" s="13">
        <v>21535</v>
      </c>
      <c r="D61" s="12">
        <f t="shared" si="7"/>
        <v>61</v>
      </c>
      <c r="E61" s="12" t="s">
        <v>585</v>
      </c>
      <c r="F61" s="12" t="s">
        <v>586</v>
      </c>
      <c r="G61" s="14">
        <v>69611</v>
      </c>
      <c r="K61" s="24"/>
    </row>
    <row r="62" spans="1:11" ht="15.75" customHeight="1">
      <c r="A62" s="16" t="s">
        <v>683</v>
      </c>
      <c r="B62" s="12" t="s">
        <v>574</v>
      </c>
      <c r="C62" s="13">
        <v>28071</v>
      </c>
      <c r="D62" s="12">
        <f t="shared" si="7"/>
        <v>43</v>
      </c>
      <c r="E62" s="12" t="s">
        <v>684</v>
      </c>
      <c r="F62" s="12" t="s">
        <v>586</v>
      </c>
      <c r="G62" s="14">
        <f>419503+311767</f>
        <v>731270</v>
      </c>
    </row>
    <row r="63" spans="1:11" ht="15.75" customHeight="1">
      <c r="A63" s="23" t="s">
        <v>685</v>
      </c>
      <c r="B63" s="12" t="s">
        <v>584</v>
      </c>
      <c r="C63" s="13">
        <v>27745</v>
      </c>
      <c r="D63" s="12">
        <f t="shared" si="7"/>
        <v>44</v>
      </c>
      <c r="E63" s="12" t="s">
        <v>605</v>
      </c>
      <c r="F63" s="12" t="s">
        <v>586</v>
      </c>
      <c r="G63" s="14">
        <f>994319.81+157168</f>
        <v>1151487.81</v>
      </c>
      <c r="J63" s="24" t="s">
        <v>92</v>
      </c>
    </row>
    <row r="64" spans="1:11" ht="15.75" customHeight="1">
      <c r="A64" s="16" t="s">
        <v>686</v>
      </c>
      <c r="B64" s="12" t="s">
        <v>574</v>
      </c>
      <c r="C64" s="13">
        <v>24999</v>
      </c>
      <c r="D64" s="12">
        <f t="shared" si="7"/>
        <v>51</v>
      </c>
      <c r="E64" s="12" t="s">
        <v>687</v>
      </c>
      <c r="F64" s="12" t="s">
        <v>586</v>
      </c>
      <c r="G64" s="14">
        <v>108326</v>
      </c>
      <c r="J64" s="24" t="s">
        <v>92</v>
      </c>
    </row>
    <row r="65" spans="1:12" ht="15.75" customHeight="1">
      <c r="A65" s="16" t="s">
        <v>688</v>
      </c>
      <c r="B65" s="12" t="s">
        <v>574</v>
      </c>
      <c r="C65" s="13">
        <v>18771</v>
      </c>
      <c r="D65" s="12">
        <f t="shared" si="7"/>
        <v>68</v>
      </c>
      <c r="E65" s="12" t="s">
        <v>648</v>
      </c>
      <c r="F65" s="12" t="s">
        <v>586</v>
      </c>
      <c r="G65" s="14">
        <v>92609</v>
      </c>
    </row>
    <row r="66" spans="1:12" ht="15.75" customHeight="1">
      <c r="A66" s="17" t="s">
        <v>689</v>
      </c>
      <c r="B66" s="12" t="s">
        <v>574</v>
      </c>
      <c r="C66" s="13">
        <v>27098</v>
      </c>
      <c r="D66" s="12">
        <f t="shared" si="7"/>
        <v>45</v>
      </c>
      <c r="E66" s="12" t="s">
        <v>611</v>
      </c>
      <c r="F66" s="12" t="s">
        <v>586</v>
      </c>
      <c r="G66" s="14">
        <v>44491.05</v>
      </c>
      <c r="L66" s="24" t="s">
        <v>92</v>
      </c>
    </row>
    <row r="67" spans="1:12" ht="15.75" customHeight="1">
      <c r="A67" s="16" t="s">
        <v>690</v>
      </c>
      <c r="B67" s="12" t="s">
        <v>574</v>
      </c>
      <c r="C67" s="13">
        <v>21881</v>
      </c>
      <c r="D67" s="12">
        <f t="shared" si="7"/>
        <v>60</v>
      </c>
      <c r="E67" s="12" t="s">
        <v>691</v>
      </c>
      <c r="F67" s="12" t="s">
        <v>586</v>
      </c>
      <c r="G67" s="14">
        <v>253693</v>
      </c>
      <c r="J67" s="24" t="s">
        <v>92</v>
      </c>
    </row>
    <row r="68" spans="1:12" ht="15.75" customHeight="1">
      <c r="A68" s="17" t="s">
        <v>692</v>
      </c>
      <c r="B68" s="12" t="s">
        <v>574</v>
      </c>
      <c r="C68" s="13">
        <v>20961</v>
      </c>
      <c r="D68" s="12">
        <f t="shared" si="7"/>
        <v>62</v>
      </c>
      <c r="E68" s="12" t="s">
        <v>693</v>
      </c>
      <c r="F68" s="12" t="s">
        <v>586</v>
      </c>
      <c r="G68" s="14">
        <v>268632.52</v>
      </c>
      <c r="J68" s="24" t="s">
        <v>92</v>
      </c>
    </row>
    <row r="69" spans="1:12" ht="15.75" customHeight="1">
      <c r="A69" s="25" t="s">
        <v>694</v>
      </c>
      <c r="B69" s="12" t="s">
        <v>574</v>
      </c>
      <c r="C69" s="13">
        <v>16541</v>
      </c>
      <c r="D69" s="12">
        <f t="shared" si="7"/>
        <v>74</v>
      </c>
      <c r="E69" s="12" t="s">
        <v>695</v>
      </c>
      <c r="F69" s="12" t="s">
        <v>586</v>
      </c>
      <c r="G69" s="14">
        <v>0</v>
      </c>
      <c r="L69" s="24" t="s">
        <v>92</v>
      </c>
    </row>
    <row r="70" spans="1:12" ht="15.75" customHeight="1">
      <c r="A70" s="17" t="s">
        <v>696</v>
      </c>
      <c r="B70" s="12" t="s">
        <v>574</v>
      </c>
      <c r="C70" s="13">
        <v>17371</v>
      </c>
      <c r="D70" s="12">
        <f t="shared" si="7"/>
        <v>72</v>
      </c>
      <c r="E70" s="12" t="s">
        <v>675</v>
      </c>
      <c r="F70" s="12" t="s">
        <v>656</v>
      </c>
      <c r="G70" s="14">
        <v>118173.01</v>
      </c>
    </row>
    <row r="71" spans="1:12" ht="15.75" customHeight="1">
      <c r="A71" s="16" t="s">
        <v>697</v>
      </c>
      <c r="B71" s="12" t="s">
        <v>574</v>
      </c>
      <c r="C71" s="13">
        <v>22041</v>
      </c>
      <c r="D71" s="12">
        <f t="shared" si="7"/>
        <v>59</v>
      </c>
      <c r="E71" s="12" t="s">
        <v>675</v>
      </c>
      <c r="F71" s="12" t="s">
        <v>586</v>
      </c>
      <c r="G71" s="14">
        <v>177455</v>
      </c>
      <c r="K71" s="24" t="s">
        <v>92</v>
      </c>
    </row>
    <row r="72" spans="1:12" ht="15.75" customHeight="1">
      <c r="A72" s="16" t="s">
        <v>698</v>
      </c>
      <c r="B72" s="12" t="s">
        <v>584</v>
      </c>
      <c r="C72" s="13">
        <v>28553</v>
      </c>
      <c r="D72" s="12">
        <f t="shared" si="7"/>
        <v>41</v>
      </c>
      <c r="E72" s="12" t="s">
        <v>627</v>
      </c>
      <c r="F72" s="12" t="s">
        <v>586</v>
      </c>
      <c r="G72" s="14">
        <v>115496</v>
      </c>
      <c r="J72" s="24" t="s">
        <v>92</v>
      </c>
    </row>
    <row r="73" spans="1:12" ht="15.75" customHeight="1">
      <c r="A73" s="16" t="s">
        <v>699</v>
      </c>
      <c r="B73" s="12" t="s">
        <v>584</v>
      </c>
      <c r="C73" s="13">
        <v>28738</v>
      </c>
      <c r="D73" s="12">
        <f t="shared" si="7"/>
        <v>41</v>
      </c>
      <c r="E73" s="12" t="s">
        <v>605</v>
      </c>
      <c r="F73" s="12" t="s">
        <v>586</v>
      </c>
      <c r="G73" s="14">
        <v>261709</v>
      </c>
    </row>
    <row r="74" spans="1:12" ht="15.75" customHeight="1">
      <c r="A74" s="17" t="s">
        <v>700</v>
      </c>
      <c r="B74" s="12" t="s">
        <v>584</v>
      </c>
      <c r="C74" s="13">
        <v>24095</v>
      </c>
      <c r="D74" s="12">
        <f t="shared" si="7"/>
        <v>54</v>
      </c>
      <c r="E74" s="12" t="s">
        <v>602</v>
      </c>
      <c r="F74" s="12" t="s">
        <v>586</v>
      </c>
      <c r="G74" s="14">
        <v>0</v>
      </c>
    </row>
    <row r="75" spans="1:12" ht="15.75" customHeight="1">
      <c r="A75" s="23" t="s">
        <v>80</v>
      </c>
      <c r="B75" s="12" t="s">
        <v>574</v>
      </c>
      <c r="C75" s="13">
        <v>25216</v>
      </c>
      <c r="D75" s="12">
        <f t="shared" si="7"/>
        <v>50</v>
      </c>
      <c r="E75" s="12" t="s">
        <v>701</v>
      </c>
      <c r="F75" s="12"/>
      <c r="G75" s="14">
        <v>695297.71</v>
      </c>
      <c r="J75" s="24" t="s">
        <v>92</v>
      </c>
    </row>
    <row r="76" spans="1:12" ht="15.75" customHeight="1">
      <c r="A76" s="17" t="s">
        <v>702</v>
      </c>
      <c r="B76" s="12" t="s">
        <v>584</v>
      </c>
      <c r="C76" s="13">
        <v>32329</v>
      </c>
      <c r="D76" s="12">
        <f t="shared" si="7"/>
        <v>31</v>
      </c>
      <c r="E76" s="12" t="s">
        <v>602</v>
      </c>
      <c r="F76" s="12" t="s">
        <v>586</v>
      </c>
      <c r="G76" s="14">
        <v>184409</v>
      </c>
      <c r="J76" s="24" t="s">
        <v>92</v>
      </c>
    </row>
    <row r="77" spans="1:12" ht="15.75" customHeight="1">
      <c r="A77" s="16" t="s">
        <v>703</v>
      </c>
      <c r="B77" s="12" t="s">
        <v>574</v>
      </c>
      <c r="C77" s="13">
        <v>30849</v>
      </c>
      <c r="D77" s="12">
        <f t="shared" si="7"/>
        <v>35</v>
      </c>
      <c r="E77" s="12" t="s">
        <v>611</v>
      </c>
      <c r="F77" s="12" t="s">
        <v>586</v>
      </c>
      <c r="G77" s="14">
        <v>117498</v>
      </c>
      <c r="K77" s="24" t="s">
        <v>92</v>
      </c>
    </row>
    <row r="78" spans="1:12" ht="15.75" customHeight="1">
      <c r="A78" s="16" t="s">
        <v>704</v>
      </c>
      <c r="B78" s="12" t="s">
        <v>574</v>
      </c>
      <c r="C78" s="13">
        <v>31945</v>
      </c>
      <c r="D78" s="12">
        <f t="shared" si="7"/>
        <v>32</v>
      </c>
      <c r="E78" s="12" t="s">
        <v>611</v>
      </c>
      <c r="F78" s="12" t="s">
        <v>586</v>
      </c>
      <c r="G78" s="14">
        <f>286683+108380</f>
        <v>395063</v>
      </c>
      <c r="J78" s="24" t="s">
        <v>92</v>
      </c>
    </row>
    <row r="79" spans="1:12" ht="15.75" customHeight="1">
      <c r="A79" s="16" t="s">
        <v>705</v>
      </c>
      <c r="B79" s="12" t="s">
        <v>574</v>
      </c>
      <c r="C79" s="13"/>
      <c r="D79" s="12"/>
      <c r="E79" s="12"/>
      <c r="F79" s="12" t="s">
        <v>586</v>
      </c>
      <c r="G79" s="14">
        <v>422200</v>
      </c>
    </row>
    <row r="80" spans="1:12" ht="15.75" customHeight="1">
      <c r="A80" s="23" t="s">
        <v>706</v>
      </c>
      <c r="B80" s="12" t="s">
        <v>584</v>
      </c>
      <c r="C80" s="13">
        <v>34492</v>
      </c>
      <c r="D80" s="12">
        <f t="shared" ref="D80:D83" si="8">DATEDIF(C80,$C$121,"Y")</f>
        <v>25</v>
      </c>
      <c r="E80" s="12" t="s">
        <v>627</v>
      </c>
      <c r="F80" s="12" t="s">
        <v>707</v>
      </c>
      <c r="G80" s="14">
        <v>82175.56</v>
      </c>
      <c r="K80" s="24" t="s">
        <v>92</v>
      </c>
    </row>
    <row r="81" spans="1:11" ht="15.75" customHeight="1">
      <c r="A81" s="17" t="s">
        <v>708</v>
      </c>
      <c r="B81" s="12" t="s">
        <v>584</v>
      </c>
      <c r="C81" s="13">
        <v>20947</v>
      </c>
      <c r="D81" s="12">
        <f t="shared" si="8"/>
        <v>62</v>
      </c>
      <c r="E81" s="12" t="s">
        <v>602</v>
      </c>
      <c r="F81" s="12" t="s">
        <v>709</v>
      </c>
      <c r="G81" s="14">
        <v>100737.25</v>
      </c>
    </row>
    <row r="82" spans="1:11" ht="15.75" customHeight="1">
      <c r="A82" s="23" t="s">
        <v>147</v>
      </c>
      <c r="B82" s="12" t="s">
        <v>584</v>
      </c>
      <c r="C82" s="13">
        <v>29139</v>
      </c>
      <c r="D82" s="12">
        <f t="shared" si="8"/>
        <v>40</v>
      </c>
      <c r="E82" s="12" t="s">
        <v>605</v>
      </c>
      <c r="F82" s="12"/>
      <c r="G82" s="14">
        <v>310286.32</v>
      </c>
    </row>
    <row r="83" spans="1:11" ht="15.75" customHeight="1">
      <c r="A83" s="16" t="s">
        <v>710</v>
      </c>
      <c r="B83" s="12" t="s">
        <v>584</v>
      </c>
      <c r="C83" s="13">
        <v>31630</v>
      </c>
      <c r="D83" s="12">
        <f t="shared" si="8"/>
        <v>33</v>
      </c>
      <c r="E83" s="12" t="s">
        <v>627</v>
      </c>
      <c r="F83" s="12" t="s">
        <v>586</v>
      </c>
      <c r="G83" s="14">
        <v>0</v>
      </c>
      <c r="J83" s="24" t="s">
        <v>92</v>
      </c>
    </row>
    <row r="84" spans="1:11" ht="15.75" customHeight="1">
      <c r="A84" s="16" t="s">
        <v>711</v>
      </c>
      <c r="B84" s="12" t="s">
        <v>584</v>
      </c>
      <c r="C84" s="13"/>
      <c r="D84" s="12"/>
      <c r="E84" s="12"/>
      <c r="F84" s="12" t="s">
        <v>586</v>
      </c>
      <c r="G84" s="14">
        <v>113888</v>
      </c>
      <c r="K84" s="24" t="s">
        <v>92</v>
      </c>
    </row>
    <row r="85" spans="1:11" ht="15.75" customHeight="1">
      <c r="A85" s="16" t="s">
        <v>712</v>
      </c>
      <c r="B85" s="12" t="s">
        <v>584</v>
      </c>
      <c r="C85" s="13">
        <v>28975</v>
      </c>
      <c r="D85" s="12">
        <f t="shared" ref="D85:D89" si="9">DATEDIF(C85,$C$121,"Y")</f>
        <v>40</v>
      </c>
      <c r="E85" s="12" t="s">
        <v>629</v>
      </c>
      <c r="F85" s="12" t="s">
        <v>586</v>
      </c>
      <c r="G85" s="14">
        <v>126001</v>
      </c>
    </row>
    <row r="86" spans="1:11" ht="15.75" customHeight="1">
      <c r="A86" s="16" t="s">
        <v>713</v>
      </c>
      <c r="B86" s="12" t="s">
        <v>584</v>
      </c>
      <c r="C86" s="13">
        <v>23401</v>
      </c>
      <c r="D86" s="12">
        <f t="shared" si="9"/>
        <v>55</v>
      </c>
      <c r="E86" s="12" t="s">
        <v>602</v>
      </c>
      <c r="F86" s="12" t="s">
        <v>586</v>
      </c>
      <c r="G86" s="14">
        <f>532885+733156+661796</f>
        <v>1927837</v>
      </c>
      <c r="J86" s="24" t="s">
        <v>92</v>
      </c>
    </row>
    <row r="87" spans="1:11" ht="15.75" customHeight="1">
      <c r="A87" s="16" t="s">
        <v>714</v>
      </c>
      <c r="B87" s="12" t="s">
        <v>584</v>
      </c>
      <c r="C87" s="13">
        <v>31878</v>
      </c>
      <c r="D87" s="12">
        <f t="shared" si="9"/>
        <v>32</v>
      </c>
      <c r="E87" s="12" t="s">
        <v>715</v>
      </c>
      <c r="F87" s="12" t="s">
        <v>586</v>
      </c>
      <c r="G87" s="14">
        <v>377504</v>
      </c>
      <c r="K87" s="24" t="s">
        <v>92</v>
      </c>
    </row>
    <row r="88" spans="1:11" ht="15.75" customHeight="1">
      <c r="A88" s="25" t="s">
        <v>716</v>
      </c>
      <c r="B88" s="12" t="s">
        <v>584</v>
      </c>
      <c r="C88" s="13">
        <v>31643</v>
      </c>
      <c r="D88" s="12">
        <f t="shared" si="9"/>
        <v>33</v>
      </c>
      <c r="E88" s="12" t="s">
        <v>594</v>
      </c>
      <c r="F88" s="12" t="s">
        <v>198</v>
      </c>
      <c r="G88" s="14">
        <v>0</v>
      </c>
      <c r="J88" s="24" t="s">
        <v>92</v>
      </c>
    </row>
    <row r="89" spans="1:11" ht="15.75" customHeight="1">
      <c r="A89" s="17" t="s">
        <v>717</v>
      </c>
      <c r="B89" s="12" t="s">
        <v>584</v>
      </c>
      <c r="C89" s="13">
        <v>32438</v>
      </c>
      <c r="D89" s="12">
        <f t="shared" si="9"/>
        <v>31</v>
      </c>
      <c r="E89" s="12" t="s">
        <v>641</v>
      </c>
      <c r="F89" s="12" t="s">
        <v>586</v>
      </c>
      <c r="G89" s="14">
        <v>119890</v>
      </c>
      <c r="J89" s="24" t="s">
        <v>92</v>
      </c>
    </row>
    <row r="90" spans="1:11" ht="15.75" customHeight="1">
      <c r="A90" s="17" t="s">
        <v>718</v>
      </c>
      <c r="B90" s="12" t="s">
        <v>574</v>
      </c>
      <c r="C90" s="13"/>
      <c r="D90" s="12"/>
      <c r="E90" s="12" t="s">
        <v>591</v>
      </c>
      <c r="F90" s="12"/>
      <c r="G90" s="14"/>
      <c r="J90" s="24"/>
    </row>
    <row r="91" spans="1:11" ht="15.75" customHeight="1">
      <c r="A91" s="23" t="s">
        <v>514</v>
      </c>
      <c r="B91" s="12" t="s">
        <v>584</v>
      </c>
      <c r="C91" s="13">
        <v>31537</v>
      </c>
      <c r="D91" s="12">
        <f t="shared" ref="D91:D118" si="10">DATEDIF(C91,$C$121,"Y")</f>
        <v>33</v>
      </c>
      <c r="E91" s="12" t="s">
        <v>602</v>
      </c>
      <c r="F91" s="12"/>
      <c r="G91" s="14">
        <v>403425.55</v>
      </c>
      <c r="J91" s="24" t="s">
        <v>92</v>
      </c>
    </row>
    <row r="92" spans="1:11" ht="15.75" customHeight="1">
      <c r="A92" s="16" t="s">
        <v>719</v>
      </c>
      <c r="B92" s="12" t="s">
        <v>584</v>
      </c>
      <c r="C92" s="13">
        <v>32791</v>
      </c>
      <c r="D92" s="12">
        <f t="shared" si="10"/>
        <v>30</v>
      </c>
      <c r="E92" s="12" t="s">
        <v>627</v>
      </c>
      <c r="F92" s="12" t="s">
        <v>586</v>
      </c>
      <c r="G92" s="14">
        <v>153385</v>
      </c>
      <c r="J92" s="24" t="s">
        <v>92</v>
      </c>
    </row>
    <row r="93" spans="1:11" ht="15.75" customHeight="1">
      <c r="A93" s="17" t="s">
        <v>720</v>
      </c>
      <c r="B93" s="12" t="s">
        <v>574</v>
      </c>
      <c r="C93" s="13">
        <v>32384</v>
      </c>
      <c r="D93" s="12">
        <f t="shared" si="10"/>
        <v>31</v>
      </c>
      <c r="E93" s="12" t="s">
        <v>614</v>
      </c>
      <c r="F93" s="12" t="s">
        <v>586</v>
      </c>
      <c r="G93" s="14">
        <v>96201.29</v>
      </c>
      <c r="J93" s="24" t="s">
        <v>92</v>
      </c>
      <c r="K93" s="24" t="s">
        <v>92</v>
      </c>
    </row>
    <row r="94" spans="1:11" ht="15.75" customHeight="1">
      <c r="A94" s="16" t="s">
        <v>721</v>
      </c>
      <c r="B94" s="12" t="s">
        <v>574</v>
      </c>
      <c r="C94" s="13">
        <v>25391</v>
      </c>
      <c r="D94" s="12">
        <f t="shared" si="10"/>
        <v>50</v>
      </c>
      <c r="E94" s="12" t="s">
        <v>611</v>
      </c>
      <c r="F94" s="12" t="s">
        <v>586</v>
      </c>
      <c r="G94" s="14">
        <v>59844</v>
      </c>
      <c r="J94" s="24" t="s">
        <v>92</v>
      </c>
    </row>
    <row r="95" spans="1:11" ht="15.75" customHeight="1">
      <c r="A95" s="16" t="s">
        <v>722</v>
      </c>
      <c r="B95" s="12" t="s">
        <v>584</v>
      </c>
      <c r="C95" s="13">
        <v>24203</v>
      </c>
      <c r="D95" s="12">
        <f t="shared" si="10"/>
        <v>53</v>
      </c>
      <c r="E95" s="12" t="s">
        <v>602</v>
      </c>
      <c r="F95" s="12" t="s">
        <v>586</v>
      </c>
      <c r="G95" s="14">
        <v>308040</v>
      </c>
    </row>
    <row r="96" spans="1:11" ht="15.75" customHeight="1">
      <c r="A96" s="16" t="s">
        <v>723</v>
      </c>
      <c r="B96" s="12" t="s">
        <v>584</v>
      </c>
      <c r="C96" s="13">
        <v>20888</v>
      </c>
      <c r="D96" s="12">
        <f t="shared" si="10"/>
        <v>62</v>
      </c>
      <c r="E96" s="12" t="s">
        <v>585</v>
      </c>
      <c r="F96" s="12" t="s">
        <v>586</v>
      </c>
      <c r="G96" s="14">
        <v>1017197</v>
      </c>
      <c r="J96" s="24" t="s">
        <v>92</v>
      </c>
      <c r="K96" s="24" t="s">
        <v>92</v>
      </c>
    </row>
    <row r="97" spans="1:13" ht="15.75" customHeight="1">
      <c r="A97" s="17" t="s">
        <v>724</v>
      </c>
      <c r="B97" s="12" t="s">
        <v>584</v>
      </c>
      <c r="C97" s="13">
        <v>21799</v>
      </c>
      <c r="D97" s="12">
        <f t="shared" si="10"/>
        <v>60</v>
      </c>
      <c r="E97" s="12" t="s">
        <v>629</v>
      </c>
      <c r="F97" s="12" t="s">
        <v>586</v>
      </c>
      <c r="G97" s="14">
        <v>71421.48</v>
      </c>
    </row>
    <row r="98" spans="1:13" ht="15.75" customHeight="1">
      <c r="A98" s="16" t="s">
        <v>725</v>
      </c>
      <c r="B98" s="12" t="s">
        <v>574</v>
      </c>
      <c r="C98" s="13">
        <v>21043</v>
      </c>
      <c r="D98" s="12">
        <f t="shared" si="10"/>
        <v>62</v>
      </c>
      <c r="E98" s="12" t="s">
        <v>675</v>
      </c>
      <c r="F98" s="12" t="s">
        <v>586</v>
      </c>
      <c r="G98" s="14">
        <v>67969</v>
      </c>
      <c r="J98" s="24" t="s">
        <v>92</v>
      </c>
    </row>
    <row r="99" spans="1:13" ht="15.75" customHeight="1">
      <c r="A99" s="16" t="s">
        <v>726</v>
      </c>
      <c r="B99" s="12" t="s">
        <v>584</v>
      </c>
      <c r="C99" s="13">
        <v>29136</v>
      </c>
      <c r="D99" s="12">
        <f t="shared" si="10"/>
        <v>40</v>
      </c>
      <c r="E99" s="12" t="s">
        <v>585</v>
      </c>
      <c r="F99" s="12" t="s">
        <v>586</v>
      </c>
      <c r="G99" s="14">
        <v>62757</v>
      </c>
    </row>
    <row r="100" spans="1:13" ht="15.75" customHeight="1">
      <c r="A100" s="16" t="s">
        <v>727</v>
      </c>
      <c r="B100" s="12" t="s">
        <v>584</v>
      </c>
      <c r="C100" s="13">
        <v>32029</v>
      </c>
      <c r="D100" s="12">
        <f t="shared" si="10"/>
        <v>32</v>
      </c>
      <c r="E100" s="12" t="s">
        <v>585</v>
      </c>
      <c r="F100" s="12" t="s">
        <v>586</v>
      </c>
      <c r="G100" s="14">
        <f>133946+176866</f>
        <v>310812</v>
      </c>
      <c r="J100" s="24" t="s">
        <v>92</v>
      </c>
    </row>
    <row r="101" spans="1:13" ht="15.75" customHeight="1">
      <c r="A101" s="16" t="s">
        <v>728</v>
      </c>
      <c r="B101" s="12" t="s">
        <v>584</v>
      </c>
      <c r="C101" s="13">
        <v>24485</v>
      </c>
      <c r="D101" s="12">
        <f t="shared" si="10"/>
        <v>52</v>
      </c>
      <c r="E101" s="12" t="s">
        <v>627</v>
      </c>
      <c r="F101" s="12" t="s">
        <v>586</v>
      </c>
      <c r="G101" s="14">
        <v>60784</v>
      </c>
    </row>
    <row r="102" spans="1:13" ht="15.75" customHeight="1">
      <c r="A102" s="23" t="s">
        <v>533</v>
      </c>
      <c r="B102" s="12" t="s">
        <v>574</v>
      </c>
      <c r="C102" s="13">
        <v>21939</v>
      </c>
      <c r="D102" s="12">
        <f t="shared" si="10"/>
        <v>59</v>
      </c>
      <c r="E102" s="12" t="s">
        <v>687</v>
      </c>
      <c r="F102" s="12"/>
      <c r="G102" s="14">
        <v>198476.5</v>
      </c>
    </row>
    <row r="103" spans="1:13" ht="15.75" customHeight="1">
      <c r="A103" s="23" t="s">
        <v>729</v>
      </c>
      <c r="B103" s="12" t="s">
        <v>584</v>
      </c>
      <c r="C103" s="13">
        <v>27955</v>
      </c>
      <c r="D103" s="12">
        <f t="shared" si="10"/>
        <v>43</v>
      </c>
      <c r="E103" s="12" t="s">
        <v>634</v>
      </c>
      <c r="F103" s="12" t="s">
        <v>586</v>
      </c>
      <c r="G103" s="14">
        <v>150629.56</v>
      </c>
      <c r="M103" s="24" t="s">
        <v>92</v>
      </c>
    </row>
    <row r="104" spans="1:13" ht="15.75" customHeight="1">
      <c r="A104" s="16" t="s">
        <v>730</v>
      </c>
      <c r="B104" s="12" t="s">
        <v>574</v>
      </c>
      <c r="C104" s="13">
        <v>28704</v>
      </c>
      <c r="D104" s="12">
        <f t="shared" si="10"/>
        <v>41</v>
      </c>
      <c r="E104" s="12" t="s">
        <v>594</v>
      </c>
      <c r="F104" s="12" t="s">
        <v>656</v>
      </c>
      <c r="G104" s="14">
        <v>100118.47</v>
      </c>
      <c r="H104" s="24"/>
      <c r="I104" s="24"/>
    </row>
    <row r="105" spans="1:13" ht="15.75" customHeight="1">
      <c r="A105" s="23" t="s">
        <v>535</v>
      </c>
      <c r="B105" s="12" t="s">
        <v>574</v>
      </c>
      <c r="C105" s="13">
        <v>29520</v>
      </c>
      <c r="D105" s="12">
        <f t="shared" si="10"/>
        <v>39</v>
      </c>
      <c r="E105" s="12" t="s">
        <v>731</v>
      </c>
      <c r="F105" s="12"/>
      <c r="G105" s="14">
        <v>354808.07</v>
      </c>
      <c r="L105" s="24" t="s">
        <v>92</v>
      </c>
    </row>
    <row r="106" spans="1:13" ht="15.75" customHeight="1">
      <c r="A106" s="17" t="s">
        <v>732</v>
      </c>
      <c r="B106" s="12" t="s">
        <v>574</v>
      </c>
      <c r="C106" s="13">
        <v>29544</v>
      </c>
      <c r="D106" s="12">
        <f t="shared" si="10"/>
        <v>39</v>
      </c>
      <c r="E106" s="12" t="s">
        <v>701</v>
      </c>
      <c r="F106" s="12" t="s">
        <v>586</v>
      </c>
      <c r="G106" s="14">
        <v>103186</v>
      </c>
      <c r="K106" s="24" t="s">
        <v>92</v>
      </c>
    </row>
    <row r="107" spans="1:13" ht="15.75" customHeight="1">
      <c r="A107" s="16" t="s">
        <v>733</v>
      </c>
      <c r="B107" s="12" t="s">
        <v>574</v>
      </c>
      <c r="C107" s="13">
        <v>21261</v>
      </c>
      <c r="D107" s="12">
        <f t="shared" si="10"/>
        <v>61</v>
      </c>
      <c r="E107" s="12" t="s">
        <v>734</v>
      </c>
      <c r="F107" s="12" t="s">
        <v>618</v>
      </c>
      <c r="G107" s="14">
        <v>210352</v>
      </c>
      <c r="J107" s="24" t="s">
        <v>92</v>
      </c>
    </row>
    <row r="108" spans="1:13" ht="15.75" customHeight="1">
      <c r="A108" s="23" t="s">
        <v>542</v>
      </c>
      <c r="B108" s="12" t="s">
        <v>584</v>
      </c>
      <c r="C108" s="13">
        <v>21704</v>
      </c>
      <c r="D108" s="12">
        <f t="shared" si="10"/>
        <v>60</v>
      </c>
      <c r="E108" s="12" t="s">
        <v>627</v>
      </c>
      <c r="F108" s="12"/>
      <c r="G108" s="14">
        <v>518146.65</v>
      </c>
      <c r="K108" s="24" t="s">
        <v>92</v>
      </c>
    </row>
    <row r="109" spans="1:13" ht="15.75" customHeight="1">
      <c r="A109" s="17" t="s">
        <v>735</v>
      </c>
      <c r="B109" s="12" t="s">
        <v>574</v>
      </c>
      <c r="C109" s="13">
        <v>21926</v>
      </c>
      <c r="D109" s="12">
        <f t="shared" si="10"/>
        <v>59</v>
      </c>
      <c r="E109" s="12" t="s">
        <v>648</v>
      </c>
      <c r="F109" s="12" t="s">
        <v>586</v>
      </c>
      <c r="G109" s="14">
        <v>168315</v>
      </c>
    </row>
    <row r="110" spans="1:13" ht="15.75" customHeight="1">
      <c r="A110" s="16" t="s">
        <v>736</v>
      </c>
      <c r="B110" s="12" t="s">
        <v>574</v>
      </c>
      <c r="C110" s="13">
        <v>31805</v>
      </c>
      <c r="D110" s="12">
        <f t="shared" si="10"/>
        <v>32</v>
      </c>
      <c r="E110" s="12" t="s">
        <v>737</v>
      </c>
      <c r="F110" s="12" t="s">
        <v>586</v>
      </c>
      <c r="G110" s="14">
        <v>123497</v>
      </c>
    </row>
    <row r="111" spans="1:13" ht="15.75" customHeight="1">
      <c r="A111" s="16" t="s">
        <v>738</v>
      </c>
      <c r="B111" s="12" t="s">
        <v>574</v>
      </c>
      <c r="C111" s="13">
        <v>32080</v>
      </c>
      <c r="D111" s="12">
        <f t="shared" si="10"/>
        <v>32</v>
      </c>
      <c r="E111" s="12" t="s">
        <v>611</v>
      </c>
      <c r="F111" s="12" t="s">
        <v>586</v>
      </c>
      <c r="G111" s="14">
        <v>135476</v>
      </c>
    </row>
    <row r="112" spans="1:13" ht="15.75" customHeight="1">
      <c r="A112" s="16" t="s">
        <v>739</v>
      </c>
      <c r="B112" s="12" t="s">
        <v>574</v>
      </c>
      <c r="C112" s="13">
        <v>32700</v>
      </c>
      <c r="D112" s="12">
        <f t="shared" si="10"/>
        <v>30</v>
      </c>
      <c r="E112" s="12" t="s">
        <v>740</v>
      </c>
      <c r="F112" s="12" t="s">
        <v>586</v>
      </c>
      <c r="G112" s="14">
        <v>5250</v>
      </c>
      <c r="J112" s="24" t="s">
        <v>92</v>
      </c>
    </row>
    <row r="113" spans="1:12" ht="15.75" customHeight="1">
      <c r="A113" s="16" t="s">
        <v>741</v>
      </c>
      <c r="B113" s="12" t="s">
        <v>584</v>
      </c>
      <c r="C113" s="13">
        <v>29491</v>
      </c>
      <c r="D113" s="12">
        <f t="shared" si="10"/>
        <v>39</v>
      </c>
      <c r="E113" s="12"/>
      <c r="F113" s="12" t="s">
        <v>586</v>
      </c>
      <c r="G113" s="14">
        <v>61457</v>
      </c>
      <c r="J113" s="24" t="s">
        <v>92</v>
      </c>
    </row>
    <row r="114" spans="1:12" ht="15.75" customHeight="1">
      <c r="A114" s="25" t="s">
        <v>742</v>
      </c>
      <c r="B114" s="12" t="s">
        <v>584</v>
      </c>
      <c r="C114" s="13">
        <v>20383</v>
      </c>
      <c r="D114" s="12">
        <f t="shared" si="10"/>
        <v>64</v>
      </c>
      <c r="E114" s="12" t="s">
        <v>743</v>
      </c>
      <c r="F114" s="12" t="s">
        <v>586</v>
      </c>
      <c r="G114" s="14">
        <v>185472</v>
      </c>
      <c r="J114" s="24" t="s">
        <v>92</v>
      </c>
      <c r="K114" s="24" t="s">
        <v>92</v>
      </c>
    </row>
    <row r="115" spans="1:12" ht="15.75" customHeight="1">
      <c r="A115" s="17" t="s">
        <v>744</v>
      </c>
      <c r="B115" s="12" t="s">
        <v>584</v>
      </c>
      <c r="C115" s="13">
        <v>36924</v>
      </c>
      <c r="D115" s="12">
        <f t="shared" si="10"/>
        <v>18</v>
      </c>
      <c r="E115" s="12" t="s">
        <v>602</v>
      </c>
      <c r="F115" s="12" t="s">
        <v>586</v>
      </c>
      <c r="G115" s="14">
        <v>238256</v>
      </c>
      <c r="L115" s="24" t="s">
        <v>92</v>
      </c>
    </row>
    <row r="116" spans="1:12" ht="15.75" customHeight="1">
      <c r="A116" s="16" t="s">
        <v>745</v>
      </c>
      <c r="B116" s="12" t="s">
        <v>574</v>
      </c>
      <c r="C116" s="13">
        <v>21111</v>
      </c>
      <c r="D116" s="12">
        <f t="shared" si="10"/>
        <v>62</v>
      </c>
      <c r="E116" s="12" t="s">
        <v>648</v>
      </c>
      <c r="F116" s="12" t="s">
        <v>586</v>
      </c>
      <c r="G116" s="14">
        <v>612317</v>
      </c>
    </row>
    <row r="117" spans="1:12" ht="15.75" customHeight="1">
      <c r="A117" s="16" t="s">
        <v>746</v>
      </c>
      <c r="B117" s="12" t="s">
        <v>584</v>
      </c>
      <c r="C117" s="13">
        <v>24865</v>
      </c>
      <c r="D117" s="12">
        <f t="shared" si="10"/>
        <v>51</v>
      </c>
      <c r="E117" s="12" t="s">
        <v>594</v>
      </c>
      <c r="F117" s="12" t="s">
        <v>586</v>
      </c>
      <c r="G117" s="14">
        <v>278735</v>
      </c>
    </row>
    <row r="118" spans="1:12" ht="15.75" customHeight="1">
      <c r="A118" s="23" t="s">
        <v>91</v>
      </c>
      <c r="B118" s="12" t="s">
        <v>584</v>
      </c>
      <c r="C118" s="13">
        <v>28041</v>
      </c>
      <c r="D118" s="12">
        <f t="shared" si="10"/>
        <v>43</v>
      </c>
      <c r="E118" s="12" t="s">
        <v>747</v>
      </c>
      <c r="F118" s="12"/>
      <c r="G118" s="14">
        <v>104765.52</v>
      </c>
    </row>
    <row r="119" spans="1:12" ht="15.75" customHeight="1">
      <c r="B119" s="30"/>
      <c r="C119" s="30" t="s">
        <v>748</v>
      </c>
      <c r="D119" s="30"/>
      <c r="E119" s="30" t="s">
        <v>748</v>
      </c>
      <c r="F119" s="30"/>
      <c r="G119" s="30" t="s">
        <v>575</v>
      </c>
    </row>
    <row r="120" spans="1:12" ht="15.75" customHeight="1">
      <c r="B120" s="30"/>
      <c r="C120" s="30">
        <f>COUNTIF(C2:C118,"")</f>
        <v>5</v>
      </c>
      <c r="D120" s="30"/>
      <c r="E120" s="30">
        <f>COUNTIF(E2:E118,"")</f>
        <v>5</v>
      </c>
      <c r="F120" s="30"/>
      <c r="G120" s="31">
        <f>SUM(G2:G119)</f>
        <v>32577145.169999994</v>
      </c>
      <c r="J120" s="24" t="s">
        <v>92</v>
      </c>
    </row>
    <row r="121" spans="1:12" ht="15.75" customHeight="1">
      <c r="B121" s="30"/>
      <c r="C121" s="32">
        <v>43833</v>
      </c>
      <c r="D121" s="30"/>
      <c r="E121" s="30"/>
      <c r="F121" s="30"/>
    </row>
    <row r="122" spans="1:12" ht="15.75" customHeight="1">
      <c r="B122" s="30"/>
      <c r="C122" s="30"/>
      <c r="D122" s="30"/>
      <c r="E122" s="30"/>
      <c r="F122" s="30"/>
    </row>
    <row r="123" spans="1:12" ht="15.75" customHeight="1">
      <c r="B123" s="30"/>
      <c r="C123" s="30"/>
      <c r="D123" s="30"/>
      <c r="E123" s="30"/>
      <c r="F123" s="30"/>
    </row>
    <row r="124" spans="1:12" ht="15.75" customHeight="1">
      <c r="B124" s="30"/>
      <c r="C124" s="30"/>
      <c r="D124" s="30"/>
      <c r="E124" s="30"/>
      <c r="F124" s="30"/>
    </row>
    <row r="125" spans="1:12" ht="15.75" customHeight="1">
      <c r="A125" s="17" t="s">
        <v>749</v>
      </c>
      <c r="B125" s="19">
        <v>32622060.02</v>
      </c>
      <c r="C125" s="19">
        <v>799508.4</v>
      </c>
      <c r="D125" s="19">
        <v>7162789.7199999997</v>
      </c>
      <c r="E125" s="33">
        <f t="shared" ref="E125:E127" si="11">SUM(B125:D125)</f>
        <v>40584358.140000001</v>
      </c>
      <c r="F125" s="30"/>
    </row>
    <row r="126" spans="1:12" ht="15.75" customHeight="1">
      <c r="A126" s="17" t="s">
        <v>750</v>
      </c>
      <c r="B126" s="19">
        <v>35079752.100000001</v>
      </c>
      <c r="C126" s="19">
        <v>1206943.1499999999</v>
      </c>
      <c r="D126" s="19">
        <v>7539307.3899999997</v>
      </c>
      <c r="E126" s="33">
        <f t="shared" si="11"/>
        <v>43826002.640000001</v>
      </c>
      <c r="F126" s="30"/>
    </row>
    <row r="127" spans="1:12" ht="15.75" customHeight="1">
      <c r="A127" s="17" t="s">
        <v>751</v>
      </c>
      <c r="B127" s="19">
        <v>32362436.780000001</v>
      </c>
      <c r="C127" s="19">
        <v>1197314.5900000001</v>
      </c>
      <c r="D127" s="19">
        <v>6426195.5899999999</v>
      </c>
      <c r="E127" s="33">
        <f t="shared" si="11"/>
        <v>39985946.960000008</v>
      </c>
      <c r="F127" s="30"/>
    </row>
    <row r="128" spans="1:12" ht="15.75" customHeight="1">
      <c r="B128" s="30"/>
      <c r="C128" s="30"/>
      <c r="D128" s="30"/>
      <c r="E128" s="30"/>
      <c r="F128" s="30"/>
    </row>
    <row r="129" spans="2:6" ht="15.75" customHeight="1">
      <c r="B129" s="30"/>
      <c r="C129" s="30"/>
      <c r="D129" s="30"/>
      <c r="E129" s="30"/>
      <c r="F129" s="30"/>
    </row>
    <row r="130" spans="2:6" ht="15.75" customHeight="1">
      <c r="B130" s="30"/>
      <c r="C130" s="30"/>
      <c r="D130" s="30"/>
      <c r="E130" s="30"/>
      <c r="F130" s="30"/>
    </row>
    <row r="131" spans="2:6" ht="15.75" customHeight="1">
      <c r="B131" s="30"/>
      <c r="C131" s="30"/>
      <c r="D131" s="30"/>
      <c r="E131" s="30"/>
      <c r="F131" s="30"/>
    </row>
    <row r="132" spans="2:6" ht="15.75" customHeight="1">
      <c r="B132" s="30"/>
      <c r="C132" s="30"/>
      <c r="D132" s="30"/>
      <c r="E132" s="30"/>
      <c r="F132" s="30"/>
    </row>
    <row r="133" spans="2:6" ht="15.75" customHeight="1">
      <c r="B133" s="30"/>
      <c r="C133" s="30"/>
      <c r="D133" s="30"/>
      <c r="E133" s="30"/>
      <c r="F133" s="30"/>
    </row>
    <row r="134" spans="2:6" ht="15.75" customHeight="1">
      <c r="B134" s="30"/>
      <c r="C134" s="30"/>
      <c r="D134" s="30"/>
      <c r="E134" s="30"/>
      <c r="F134" s="30"/>
    </row>
    <row r="135" spans="2:6" ht="15.75" customHeight="1">
      <c r="B135" s="30"/>
      <c r="C135" s="30"/>
      <c r="D135" s="30"/>
      <c r="E135" s="30"/>
      <c r="F135" s="30"/>
    </row>
    <row r="136" spans="2:6" ht="15.75" customHeight="1">
      <c r="B136" s="30"/>
      <c r="C136" s="30"/>
      <c r="D136" s="30"/>
      <c r="E136" s="30"/>
      <c r="F136" s="30"/>
    </row>
    <row r="137" spans="2:6" ht="15.75" customHeight="1">
      <c r="B137" s="30"/>
      <c r="C137" s="30"/>
      <c r="D137" s="30"/>
      <c r="E137" s="30"/>
      <c r="F137" s="30"/>
    </row>
    <row r="138" spans="2:6" ht="15.75" customHeight="1">
      <c r="B138" s="30"/>
      <c r="C138" s="30"/>
      <c r="D138" s="30"/>
      <c r="E138" s="30"/>
      <c r="F138" s="30"/>
    </row>
    <row r="139" spans="2:6" ht="15.75" customHeight="1">
      <c r="B139" s="30"/>
      <c r="C139" s="30"/>
      <c r="D139" s="30"/>
      <c r="E139" s="30"/>
      <c r="F139" s="30"/>
    </row>
    <row r="140" spans="2:6" ht="15.75" customHeight="1">
      <c r="B140" s="30"/>
      <c r="C140" s="30"/>
      <c r="D140" s="30"/>
      <c r="E140" s="30"/>
      <c r="F140" s="30"/>
    </row>
    <row r="141" spans="2:6" ht="15.75" customHeight="1">
      <c r="B141" s="30"/>
      <c r="C141" s="30"/>
      <c r="D141" s="30"/>
      <c r="E141" s="30"/>
      <c r="F141" s="30"/>
    </row>
    <row r="142" spans="2:6" ht="15.75" customHeight="1">
      <c r="B142" s="30"/>
      <c r="C142" s="30"/>
      <c r="D142" s="30"/>
      <c r="E142" s="30"/>
      <c r="F142" s="30"/>
    </row>
    <row r="143" spans="2:6" ht="15.75" customHeight="1">
      <c r="B143" s="30"/>
      <c r="C143" s="30"/>
      <c r="D143" s="30"/>
      <c r="E143" s="30"/>
      <c r="F143" s="30"/>
    </row>
    <row r="144" spans="2:6" ht="15.75" customHeight="1">
      <c r="B144" s="30"/>
      <c r="C144" s="30"/>
      <c r="D144" s="30"/>
      <c r="E144" s="30"/>
      <c r="F144" s="30"/>
    </row>
    <row r="145" spans="2:6" ht="15.75" customHeight="1">
      <c r="B145" s="30"/>
      <c r="C145" s="30"/>
      <c r="D145" s="30"/>
      <c r="E145" s="30"/>
      <c r="F145" s="30"/>
    </row>
    <row r="146" spans="2:6" ht="15.75" customHeight="1">
      <c r="B146" s="30"/>
      <c r="C146" s="30"/>
      <c r="D146" s="30"/>
      <c r="E146" s="30"/>
      <c r="F146" s="30"/>
    </row>
    <row r="147" spans="2:6" ht="15.75" customHeight="1">
      <c r="B147" s="30"/>
      <c r="C147" s="30"/>
      <c r="D147" s="30"/>
      <c r="E147" s="30"/>
      <c r="F147" s="30"/>
    </row>
    <row r="148" spans="2:6" ht="15.75" customHeight="1">
      <c r="B148" s="30"/>
      <c r="C148" s="30"/>
      <c r="D148" s="30"/>
      <c r="E148" s="30"/>
      <c r="F148" s="30"/>
    </row>
    <row r="149" spans="2:6" ht="15.75" customHeight="1">
      <c r="B149" s="30"/>
      <c r="C149" s="30"/>
      <c r="D149" s="30"/>
      <c r="E149" s="30"/>
      <c r="F149" s="30"/>
    </row>
    <row r="150" spans="2:6" ht="15.75" customHeight="1">
      <c r="B150" s="30"/>
      <c r="C150" s="30"/>
      <c r="D150" s="30"/>
      <c r="E150" s="30"/>
      <c r="F150" s="30"/>
    </row>
    <row r="151" spans="2:6" ht="15.75" customHeight="1">
      <c r="B151" s="30"/>
      <c r="C151" s="30"/>
      <c r="D151" s="30"/>
      <c r="E151" s="30"/>
      <c r="F151" s="30"/>
    </row>
    <row r="152" spans="2:6" ht="15.75" customHeight="1">
      <c r="B152" s="30"/>
      <c r="C152" s="30"/>
      <c r="D152" s="30"/>
      <c r="E152" s="30"/>
      <c r="F152" s="30"/>
    </row>
    <row r="153" spans="2:6" ht="15.75" customHeight="1">
      <c r="B153" s="30"/>
      <c r="C153" s="30"/>
      <c r="D153" s="30"/>
      <c r="E153" s="30"/>
      <c r="F153" s="30"/>
    </row>
    <row r="154" spans="2:6" ht="15.75" customHeight="1">
      <c r="B154" s="30"/>
      <c r="C154" s="30"/>
      <c r="D154" s="30"/>
      <c r="E154" s="30"/>
      <c r="F154" s="30"/>
    </row>
    <row r="155" spans="2:6" ht="15.75" customHeight="1">
      <c r="B155" s="30"/>
      <c r="C155" s="30"/>
      <c r="D155" s="30"/>
      <c r="E155" s="30"/>
      <c r="F155" s="30"/>
    </row>
    <row r="156" spans="2:6" ht="15.75" customHeight="1">
      <c r="B156" s="30"/>
      <c r="C156" s="30"/>
      <c r="D156" s="30"/>
      <c r="E156" s="30"/>
      <c r="F156" s="30"/>
    </row>
    <row r="157" spans="2:6" ht="15.75" customHeight="1">
      <c r="B157" s="30"/>
      <c r="C157" s="30"/>
      <c r="D157" s="30"/>
      <c r="E157" s="30"/>
      <c r="F157" s="30"/>
    </row>
    <row r="158" spans="2:6" ht="15.75" customHeight="1">
      <c r="B158" s="30"/>
      <c r="C158" s="30"/>
      <c r="D158" s="30"/>
      <c r="E158" s="30"/>
      <c r="F158" s="30"/>
    </row>
    <row r="159" spans="2:6" ht="15.75" customHeight="1">
      <c r="B159" s="30"/>
      <c r="C159" s="30"/>
      <c r="D159" s="30"/>
      <c r="E159" s="30"/>
      <c r="F159" s="30"/>
    </row>
    <row r="160" spans="2:6" ht="15.75" customHeight="1">
      <c r="B160" s="30"/>
      <c r="C160" s="30"/>
      <c r="D160" s="30"/>
      <c r="E160" s="30"/>
      <c r="F160" s="30"/>
    </row>
    <row r="161" spans="2:6" ht="15.75" customHeight="1">
      <c r="B161" s="30"/>
      <c r="C161" s="30"/>
      <c r="D161" s="30"/>
      <c r="E161" s="30"/>
      <c r="F161" s="30"/>
    </row>
    <row r="162" spans="2:6" ht="15.75" customHeight="1">
      <c r="B162" s="30"/>
      <c r="C162" s="30"/>
      <c r="D162" s="30"/>
      <c r="E162" s="30"/>
      <c r="F162" s="30"/>
    </row>
    <row r="163" spans="2:6" ht="15.75" customHeight="1">
      <c r="B163" s="30"/>
      <c r="C163" s="30"/>
      <c r="D163" s="30"/>
      <c r="E163" s="30"/>
      <c r="F163" s="30"/>
    </row>
    <row r="164" spans="2:6" ht="15.75" customHeight="1">
      <c r="B164" s="30"/>
      <c r="C164" s="30"/>
      <c r="D164" s="30"/>
      <c r="E164" s="30"/>
      <c r="F164" s="30"/>
    </row>
    <row r="165" spans="2:6" ht="15.75" customHeight="1">
      <c r="B165" s="30"/>
      <c r="C165" s="30"/>
      <c r="D165" s="30"/>
      <c r="E165" s="30"/>
      <c r="F165" s="30"/>
    </row>
    <row r="166" spans="2:6" ht="15.75" customHeight="1">
      <c r="B166" s="30"/>
      <c r="C166" s="30"/>
      <c r="D166" s="30"/>
      <c r="E166" s="30"/>
      <c r="F166" s="30"/>
    </row>
    <row r="167" spans="2:6" ht="15.75" customHeight="1">
      <c r="B167" s="30"/>
      <c r="C167" s="30"/>
      <c r="D167" s="30"/>
      <c r="E167" s="30"/>
      <c r="F167" s="30"/>
    </row>
    <row r="168" spans="2:6" ht="15.75" customHeight="1">
      <c r="B168" s="30"/>
      <c r="C168" s="30"/>
      <c r="D168" s="30"/>
      <c r="E168" s="30"/>
      <c r="F168" s="30"/>
    </row>
    <row r="169" spans="2:6" ht="15.75" customHeight="1">
      <c r="B169" s="30"/>
      <c r="C169" s="30"/>
      <c r="D169" s="30"/>
      <c r="E169" s="30"/>
      <c r="F169" s="30"/>
    </row>
    <row r="170" spans="2:6" ht="15.75" customHeight="1">
      <c r="B170" s="30"/>
      <c r="C170" s="30"/>
      <c r="D170" s="30"/>
      <c r="E170" s="30"/>
      <c r="F170" s="30"/>
    </row>
    <row r="171" spans="2:6" ht="15.75" customHeight="1">
      <c r="B171" s="30"/>
      <c r="C171" s="30"/>
      <c r="D171" s="30"/>
      <c r="E171" s="30"/>
      <c r="F171" s="30"/>
    </row>
    <row r="172" spans="2:6" ht="15.75" customHeight="1">
      <c r="B172" s="30"/>
      <c r="C172" s="30"/>
      <c r="D172" s="30"/>
      <c r="E172" s="30"/>
      <c r="F172" s="30"/>
    </row>
    <row r="173" spans="2:6" ht="15.75" customHeight="1">
      <c r="B173" s="30"/>
      <c r="C173" s="30"/>
      <c r="D173" s="30"/>
      <c r="E173" s="30"/>
      <c r="F173" s="30"/>
    </row>
    <row r="174" spans="2:6" ht="15.75" customHeight="1">
      <c r="B174" s="30"/>
      <c r="C174" s="30"/>
      <c r="D174" s="30"/>
      <c r="E174" s="30"/>
      <c r="F174" s="30"/>
    </row>
    <row r="175" spans="2:6" ht="15.75" customHeight="1">
      <c r="B175" s="30"/>
      <c r="C175" s="30"/>
      <c r="D175" s="30"/>
      <c r="E175" s="30"/>
      <c r="F175" s="30"/>
    </row>
    <row r="176" spans="2:6" ht="15.75" customHeight="1">
      <c r="B176" s="30"/>
      <c r="C176" s="30"/>
      <c r="D176" s="30"/>
      <c r="E176" s="30"/>
      <c r="F176" s="30"/>
    </row>
    <row r="177" spans="2:6" ht="15.75" customHeight="1">
      <c r="B177" s="30"/>
      <c r="C177" s="30"/>
      <c r="D177" s="30"/>
      <c r="E177" s="30"/>
      <c r="F177" s="30"/>
    </row>
    <row r="178" spans="2:6" ht="15.75" customHeight="1">
      <c r="B178" s="30"/>
      <c r="C178" s="30"/>
      <c r="D178" s="30"/>
      <c r="E178" s="30"/>
      <c r="F178" s="30"/>
    </row>
    <row r="179" spans="2:6" ht="15.75" customHeight="1">
      <c r="B179" s="30"/>
      <c r="C179" s="30"/>
      <c r="D179" s="30"/>
      <c r="E179" s="30"/>
      <c r="F179" s="30"/>
    </row>
    <row r="180" spans="2:6" ht="15.75" customHeight="1">
      <c r="B180" s="30"/>
      <c r="C180" s="30"/>
      <c r="D180" s="30"/>
      <c r="E180" s="30"/>
      <c r="F180" s="30"/>
    </row>
    <row r="181" spans="2:6" ht="15.75" customHeight="1">
      <c r="B181" s="30"/>
      <c r="C181" s="30"/>
      <c r="D181" s="30"/>
      <c r="E181" s="30"/>
      <c r="F181" s="30"/>
    </row>
    <row r="182" spans="2:6" ht="15.75" customHeight="1">
      <c r="B182" s="30"/>
      <c r="C182" s="30"/>
      <c r="D182" s="30"/>
      <c r="E182" s="30"/>
      <c r="F182" s="30"/>
    </row>
    <row r="183" spans="2:6" ht="15.75" customHeight="1">
      <c r="B183" s="30"/>
      <c r="C183" s="30"/>
      <c r="D183" s="30"/>
      <c r="E183" s="30"/>
      <c r="F183" s="30"/>
    </row>
    <row r="184" spans="2:6" ht="15.75" customHeight="1">
      <c r="B184" s="30"/>
      <c r="C184" s="30"/>
      <c r="D184" s="30"/>
      <c r="E184" s="30"/>
      <c r="F184" s="30"/>
    </row>
    <row r="185" spans="2:6" ht="15.75" customHeight="1">
      <c r="B185" s="30"/>
      <c r="C185" s="30"/>
      <c r="D185" s="30"/>
      <c r="E185" s="30"/>
      <c r="F185" s="30"/>
    </row>
    <row r="186" spans="2:6" ht="15.75" customHeight="1">
      <c r="B186" s="30"/>
      <c r="C186" s="30"/>
      <c r="D186" s="30"/>
      <c r="E186" s="30"/>
      <c r="F186" s="30"/>
    </row>
    <row r="187" spans="2:6" ht="15.75" customHeight="1">
      <c r="B187" s="30"/>
      <c r="C187" s="30"/>
      <c r="D187" s="30"/>
      <c r="E187" s="30"/>
      <c r="F187" s="30"/>
    </row>
    <row r="188" spans="2:6" ht="15.75" customHeight="1">
      <c r="B188" s="30"/>
      <c r="C188" s="30"/>
      <c r="D188" s="30"/>
      <c r="E188" s="30"/>
      <c r="F188" s="30"/>
    </row>
    <row r="189" spans="2:6" ht="15.75" customHeight="1">
      <c r="B189" s="30"/>
      <c r="C189" s="30"/>
      <c r="D189" s="30"/>
      <c r="E189" s="30"/>
      <c r="F189" s="30"/>
    </row>
    <row r="190" spans="2:6" ht="15.75" customHeight="1">
      <c r="B190" s="30"/>
      <c r="C190" s="30"/>
      <c r="D190" s="30"/>
      <c r="E190" s="30"/>
      <c r="F190" s="30"/>
    </row>
    <row r="191" spans="2:6" ht="15.75" customHeight="1">
      <c r="B191" s="30"/>
      <c r="C191" s="30"/>
      <c r="D191" s="30"/>
      <c r="E191" s="30"/>
      <c r="F191" s="30"/>
    </row>
    <row r="192" spans="2:6" ht="15.75" customHeight="1">
      <c r="B192" s="30"/>
      <c r="C192" s="30"/>
      <c r="D192" s="30"/>
      <c r="E192" s="30"/>
      <c r="F192" s="30"/>
    </row>
    <row r="193" spans="2:6" ht="15.75" customHeight="1">
      <c r="B193" s="30"/>
      <c r="C193" s="30"/>
      <c r="D193" s="30"/>
      <c r="E193" s="30"/>
      <c r="F193" s="30"/>
    </row>
    <row r="194" spans="2:6" ht="15.75" customHeight="1">
      <c r="B194" s="30"/>
      <c r="C194" s="30"/>
      <c r="D194" s="30"/>
      <c r="E194" s="30"/>
      <c r="F194" s="30"/>
    </row>
    <row r="195" spans="2:6" ht="15.75" customHeight="1">
      <c r="B195" s="30"/>
      <c r="C195" s="30"/>
      <c r="D195" s="30"/>
      <c r="E195" s="30"/>
      <c r="F195" s="30"/>
    </row>
    <row r="196" spans="2:6" ht="15.75" customHeight="1">
      <c r="B196" s="30"/>
      <c r="C196" s="30"/>
      <c r="D196" s="30"/>
      <c r="E196" s="30"/>
      <c r="F196" s="30"/>
    </row>
    <row r="197" spans="2:6" ht="15.75" customHeight="1">
      <c r="B197" s="30"/>
      <c r="C197" s="30"/>
      <c r="D197" s="30"/>
      <c r="E197" s="30"/>
      <c r="F197" s="30"/>
    </row>
    <row r="198" spans="2:6" ht="15.75" customHeight="1">
      <c r="B198" s="30"/>
      <c r="C198" s="30"/>
      <c r="D198" s="30"/>
      <c r="E198" s="30"/>
      <c r="F198" s="30"/>
    </row>
    <row r="199" spans="2:6" ht="15.75" customHeight="1">
      <c r="B199" s="30"/>
      <c r="C199" s="30"/>
      <c r="D199" s="30"/>
      <c r="E199" s="30"/>
      <c r="F199" s="30"/>
    </row>
    <row r="200" spans="2:6" ht="15.75" customHeight="1">
      <c r="B200" s="30"/>
      <c r="C200" s="30"/>
      <c r="D200" s="30"/>
      <c r="E200" s="30"/>
      <c r="F200" s="30"/>
    </row>
    <row r="201" spans="2:6" ht="15.75" customHeight="1">
      <c r="B201" s="30"/>
      <c r="C201" s="30"/>
      <c r="D201" s="30"/>
      <c r="E201" s="30"/>
      <c r="F201" s="30"/>
    </row>
    <row r="202" spans="2:6" ht="15.75" customHeight="1">
      <c r="B202" s="30"/>
      <c r="C202" s="30"/>
      <c r="D202" s="30"/>
      <c r="E202" s="30"/>
      <c r="F202" s="30"/>
    </row>
    <row r="203" spans="2:6" ht="15.75" customHeight="1">
      <c r="B203" s="30"/>
      <c r="C203" s="30"/>
      <c r="D203" s="30"/>
      <c r="E203" s="30"/>
      <c r="F203" s="30"/>
    </row>
    <row r="204" spans="2:6" ht="15.75" customHeight="1">
      <c r="B204" s="30"/>
      <c r="C204" s="30"/>
      <c r="D204" s="30"/>
      <c r="E204" s="30"/>
      <c r="F204" s="30"/>
    </row>
    <row r="205" spans="2:6" ht="15.75" customHeight="1">
      <c r="B205" s="30"/>
      <c r="C205" s="30"/>
      <c r="D205" s="30"/>
      <c r="E205" s="30"/>
      <c r="F205" s="30"/>
    </row>
    <row r="206" spans="2:6" ht="15.75" customHeight="1">
      <c r="B206" s="30"/>
      <c r="C206" s="30"/>
      <c r="D206" s="30"/>
      <c r="E206" s="30"/>
      <c r="F206" s="30"/>
    </row>
    <row r="207" spans="2:6" ht="15.75" customHeight="1">
      <c r="B207" s="30"/>
      <c r="C207" s="30"/>
      <c r="D207" s="30"/>
      <c r="E207" s="30"/>
      <c r="F207" s="30"/>
    </row>
    <row r="208" spans="2:6" ht="15.75" customHeight="1">
      <c r="B208" s="30"/>
      <c r="C208" s="30"/>
      <c r="D208" s="30"/>
      <c r="E208" s="30"/>
      <c r="F208" s="30"/>
    </row>
    <row r="209" spans="2:6" ht="15.75" customHeight="1">
      <c r="B209" s="30"/>
      <c r="C209" s="30"/>
      <c r="D209" s="30"/>
      <c r="E209" s="30"/>
      <c r="F209" s="30"/>
    </row>
    <row r="210" spans="2:6" ht="15.75" customHeight="1">
      <c r="B210" s="30"/>
      <c r="C210" s="30"/>
      <c r="D210" s="30"/>
      <c r="E210" s="30"/>
      <c r="F210" s="30"/>
    </row>
    <row r="211" spans="2:6" ht="15.75" customHeight="1">
      <c r="B211" s="30"/>
      <c r="C211" s="30"/>
      <c r="D211" s="30"/>
      <c r="E211" s="30"/>
      <c r="F211" s="30"/>
    </row>
    <row r="212" spans="2:6" ht="15.75" customHeight="1">
      <c r="B212" s="30"/>
      <c r="C212" s="30"/>
      <c r="D212" s="30"/>
      <c r="E212" s="30"/>
      <c r="F212" s="30"/>
    </row>
    <row r="213" spans="2:6" ht="15.75" customHeight="1">
      <c r="B213" s="30"/>
      <c r="C213" s="30"/>
      <c r="D213" s="30"/>
      <c r="E213" s="30"/>
      <c r="F213" s="30"/>
    </row>
    <row r="214" spans="2:6" ht="15.75" customHeight="1">
      <c r="B214" s="30"/>
      <c r="C214" s="30"/>
      <c r="D214" s="30"/>
      <c r="E214" s="30"/>
      <c r="F214" s="30"/>
    </row>
    <row r="215" spans="2:6" ht="15.75" customHeight="1">
      <c r="B215" s="30"/>
      <c r="C215" s="30"/>
      <c r="D215" s="30"/>
      <c r="E215" s="30"/>
      <c r="F215" s="30"/>
    </row>
    <row r="216" spans="2:6" ht="15.75" customHeight="1">
      <c r="B216" s="30"/>
      <c r="C216" s="30"/>
      <c r="D216" s="30"/>
      <c r="E216" s="30"/>
      <c r="F216" s="30"/>
    </row>
    <row r="217" spans="2:6" ht="15.75" customHeight="1">
      <c r="B217" s="30"/>
      <c r="C217" s="30"/>
      <c r="D217" s="30"/>
      <c r="E217" s="30"/>
      <c r="F217" s="30"/>
    </row>
    <row r="218" spans="2:6" ht="15.75" customHeight="1">
      <c r="B218" s="30"/>
      <c r="C218" s="30"/>
      <c r="D218" s="30"/>
      <c r="E218" s="30"/>
      <c r="F218" s="30"/>
    </row>
    <row r="219" spans="2:6" ht="15.75" customHeight="1">
      <c r="B219" s="30"/>
      <c r="C219" s="30"/>
      <c r="D219" s="30"/>
      <c r="E219" s="30"/>
      <c r="F219" s="30"/>
    </row>
    <row r="220" spans="2:6" ht="15.75" customHeight="1">
      <c r="B220" s="30"/>
      <c r="C220" s="30"/>
      <c r="D220" s="30"/>
      <c r="E220" s="30"/>
      <c r="F220" s="30"/>
    </row>
    <row r="221" spans="2:6" ht="15.75" customHeight="1">
      <c r="B221" s="30"/>
      <c r="C221" s="30"/>
      <c r="D221" s="30"/>
      <c r="E221" s="30"/>
      <c r="F221" s="30"/>
    </row>
    <row r="222" spans="2:6" ht="15.75" customHeight="1">
      <c r="B222" s="30"/>
      <c r="C222" s="30"/>
      <c r="D222" s="30"/>
      <c r="E222" s="30"/>
      <c r="F222" s="30"/>
    </row>
    <row r="223" spans="2:6" ht="15.75" customHeight="1">
      <c r="B223" s="30"/>
      <c r="C223" s="30"/>
      <c r="D223" s="30"/>
      <c r="E223" s="30"/>
      <c r="F223" s="30"/>
    </row>
    <row r="224" spans="2:6" ht="15.75" customHeight="1">
      <c r="B224" s="30"/>
      <c r="C224" s="30"/>
      <c r="D224" s="30"/>
      <c r="E224" s="30"/>
      <c r="F224" s="30"/>
    </row>
    <row r="225" spans="2:6" ht="15.75" customHeight="1">
      <c r="B225" s="30"/>
      <c r="C225" s="30"/>
      <c r="D225" s="30"/>
      <c r="E225" s="30"/>
      <c r="F225" s="30"/>
    </row>
    <row r="226" spans="2:6" ht="15.75" customHeight="1">
      <c r="B226" s="30"/>
      <c r="C226" s="30"/>
      <c r="D226" s="30"/>
      <c r="E226" s="30"/>
      <c r="F226" s="30"/>
    </row>
    <row r="227" spans="2:6" ht="15.75" customHeight="1">
      <c r="B227" s="30"/>
      <c r="C227" s="30"/>
      <c r="D227" s="30"/>
      <c r="E227" s="30"/>
      <c r="F227" s="30"/>
    </row>
    <row r="228" spans="2:6" ht="15.75" customHeight="1">
      <c r="B228" s="30"/>
      <c r="C228" s="30"/>
      <c r="D228" s="30"/>
      <c r="E228" s="30"/>
      <c r="F228" s="30"/>
    </row>
    <row r="229" spans="2:6" ht="15.75" customHeight="1">
      <c r="B229" s="30"/>
      <c r="C229" s="30"/>
      <c r="D229" s="30"/>
      <c r="E229" s="30"/>
      <c r="F229" s="30"/>
    </row>
    <row r="230" spans="2:6" ht="15.75" customHeight="1">
      <c r="B230" s="30"/>
      <c r="C230" s="30"/>
      <c r="D230" s="30"/>
      <c r="E230" s="30"/>
      <c r="F230" s="30"/>
    </row>
    <row r="231" spans="2:6" ht="15.75" customHeight="1">
      <c r="B231" s="30"/>
      <c r="C231" s="30"/>
      <c r="D231" s="30"/>
      <c r="E231" s="30"/>
      <c r="F231" s="30"/>
    </row>
    <row r="232" spans="2:6" ht="15.75" customHeight="1">
      <c r="B232" s="30"/>
      <c r="C232" s="30"/>
      <c r="D232" s="30"/>
      <c r="E232" s="30"/>
      <c r="F232" s="30"/>
    </row>
    <row r="233" spans="2:6" ht="15.75" customHeight="1">
      <c r="B233" s="30"/>
      <c r="C233" s="30"/>
      <c r="D233" s="30"/>
      <c r="E233" s="30"/>
      <c r="F233" s="30"/>
    </row>
    <row r="234" spans="2:6" ht="15.75" customHeight="1">
      <c r="B234" s="30"/>
      <c r="C234" s="30"/>
      <c r="D234" s="30"/>
      <c r="E234" s="30"/>
      <c r="F234" s="30"/>
    </row>
    <row r="235" spans="2:6" ht="15.75" customHeight="1">
      <c r="B235" s="30"/>
      <c r="C235" s="30"/>
      <c r="D235" s="30"/>
      <c r="E235" s="30"/>
      <c r="F235" s="30"/>
    </row>
    <row r="236" spans="2:6" ht="15.75" customHeight="1">
      <c r="B236" s="30"/>
      <c r="C236" s="30"/>
      <c r="D236" s="30"/>
      <c r="E236" s="30"/>
      <c r="F236" s="30"/>
    </row>
    <row r="237" spans="2:6" ht="15.75" customHeight="1">
      <c r="B237" s="30"/>
      <c r="C237" s="30"/>
      <c r="D237" s="30"/>
      <c r="E237" s="30"/>
      <c r="F237" s="30"/>
    </row>
    <row r="238" spans="2:6" ht="15.75" customHeight="1">
      <c r="B238" s="30"/>
      <c r="C238" s="30"/>
      <c r="D238" s="30"/>
      <c r="E238" s="30"/>
      <c r="F238" s="30"/>
    </row>
    <row r="239" spans="2:6" ht="15.75" customHeight="1">
      <c r="B239" s="30"/>
      <c r="C239" s="30"/>
      <c r="D239" s="30"/>
      <c r="E239" s="30"/>
      <c r="F239" s="30"/>
    </row>
    <row r="240" spans="2:6" ht="15.75" customHeight="1">
      <c r="B240" s="30"/>
      <c r="C240" s="30"/>
      <c r="D240" s="30"/>
      <c r="E240" s="30"/>
      <c r="F240" s="30"/>
    </row>
    <row r="241" spans="2:6" ht="15.75" customHeight="1">
      <c r="B241" s="30"/>
      <c r="C241" s="30"/>
      <c r="D241" s="30"/>
      <c r="E241" s="30"/>
      <c r="F241" s="30"/>
    </row>
    <row r="242" spans="2:6" ht="15.75" customHeight="1">
      <c r="B242" s="30"/>
      <c r="C242" s="30"/>
      <c r="D242" s="30"/>
      <c r="E242" s="30"/>
      <c r="F242" s="30"/>
    </row>
    <row r="243" spans="2:6" ht="15.75" customHeight="1">
      <c r="B243" s="30"/>
      <c r="C243" s="30"/>
      <c r="D243" s="30"/>
      <c r="E243" s="30"/>
      <c r="F243" s="30"/>
    </row>
    <row r="244" spans="2:6" ht="15.75" customHeight="1">
      <c r="B244" s="30"/>
      <c r="C244" s="30"/>
      <c r="D244" s="30"/>
      <c r="E244" s="30"/>
      <c r="F244" s="30"/>
    </row>
    <row r="245" spans="2:6" ht="15.75" customHeight="1">
      <c r="B245" s="30"/>
      <c r="C245" s="30"/>
      <c r="D245" s="30"/>
      <c r="E245" s="30"/>
      <c r="F245" s="30"/>
    </row>
    <row r="246" spans="2:6" ht="15.75" customHeight="1">
      <c r="B246" s="30"/>
      <c r="C246" s="30"/>
      <c r="D246" s="30"/>
      <c r="E246" s="30"/>
      <c r="F246" s="30"/>
    </row>
    <row r="247" spans="2:6" ht="15.75" customHeight="1">
      <c r="B247" s="30"/>
      <c r="C247" s="30"/>
      <c r="D247" s="30"/>
      <c r="E247" s="30"/>
      <c r="F247" s="30"/>
    </row>
    <row r="248" spans="2:6" ht="15.75" customHeight="1">
      <c r="B248" s="30"/>
      <c r="C248" s="30"/>
      <c r="D248" s="30"/>
      <c r="E248" s="30"/>
      <c r="F248" s="30"/>
    </row>
    <row r="249" spans="2:6" ht="15.75" customHeight="1">
      <c r="B249" s="30"/>
      <c r="C249" s="30"/>
      <c r="D249" s="30"/>
      <c r="E249" s="30"/>
      <c r="F249" s="30"/>
    </row>
    <row r="250" spans="2:6" ht="15.75" customHeight="1">
      <c r="B250" s="30"/>
      <c r="C250" s="30"/>
      <c r="D250" s="30"/>
      <c r="E250" s="30"/>
      <c r="F250" s="30"/>
    </row>
    <row r="251" spans="2:6" ht="15.75" customHeight="1">
      <c r="B251" s="30"/>
      <c r="C251" s="30"/>
      <c r="D251" s="30"/>
      <c r="E251" s="30"/>
      <c r="F251" s="30"/>
    </row>
    <row r="252" spans="2:6" ht="15.75" customHeight="1">
      <c r="B252" s="30"/>
      <c r="C252" s="30"/>
      <c r="D252" s="30"/>
      <c r="E252" s="30"/>
      <c r="F252" s="30"/>
    </row>
    <row r="253" spans="2:6" ht="15.75" customHeight="1">
      <c r="B253" s="30"/>
      <c r="C253" s="30"/>
      <c r="D253" s="30"/>
      <c r="E253" s="30"/>
      <c r="F253" s="30"/>
    </row>
    <row r="254" spans="2:6" ht="15.75" customHeight="1">
      <c r="B254" s="30"/>
      <c r="C254" s="30"/>
      <c r="D254" s="30"/>
      <c r="E254" s="30"/>
      <c r="F254" s="30"/>
    </row>
    <row r="255" spans="2:6" ht="15.75" customHeight="1">
      <c r="B255" s="30"/>
      <c r="C255" s="30"/>
      <c r="D255" s="30"/>
      <c r="E255" s="30"/>
      <c r="F255" s="30"/>
    </row>
    <row r="256" spans="2:6" ht="15.75" customHeight="1">
      <c r="B256" s="30"/>
      <c r="C256" s="30"/>
      <c r="D256" s="30"/>
      <c r="E256" s="30"/>
      <c r="F256" s="30"/>
    </row>
    <row r="257" spans="2:6" ht="15.75" customHeight="1">
      <c r="B257" s="30"/>
      <c r="C257" s="30"/>
      <c r="D257" s="30"/>
      <c r="E257" s="30"/>
      <c r="F257" s="30"/>
    </row>
    <row r="258" spans="2:6" ht="15.75" customHeight="1">
      <c r="B258" s="30"/>
      <c r="C258" s="30"/>
      <c r="D258" s="30"/>
      <c r="E258" s="30"/>
      <c r="F258" s="30"/>
    </row>
    <row r="259" spans="2:6" ht="15.75" customHeight="1">
      <c r="B259" s="30"/>
      <c r="C259" s="30"/>
      <c r="D259" s="30"/>
      <c r="E259" s="30"/>
      <c r="F259" s="30"/>
    </row>
    <row r="260" spans="2:6" ht="15.75" customHeight="1">
      <c r="B260" s="30"/>
      <c r="C260" s="30"/>
      <c r="D260" s="30"/>
      <c r="E260" s="30"/>
      <c r="F260" s="30"/>
    </row>
    <row r="261" spans="2:6" ht="15.75" customHeight="1">
      <c r="B261" s="30"/>
      <c r="C261" s="30"/>
      <c r="D261" s="30"/>
      <c r="E261" s="30"/>
      <c r="F261" s="30"/>
    </row>
    <row r="262" spans="2:6" ht="15.75" customHeight="1">
      <c r="B262" s="30"/>
      <c r="C262" s="30"/>
      <c r="D262" s="30"/>
      <c r="E262" s="30"/>
      <c r="F262" s="30"/>
    </row>
    <row r="263" spans="2:6" ht="15.75" customHeight="1">
      <c r="B263" s="30"/>
      <c r="C263" s="30"/>
      <c r="D263" s="30"/>
      <c r="E263" s="30"/>
      <c r="F263" s="30"/>
    </row>
    <row r="264" spans="2:6" ht="15.75" customHeight="1">
      <c r="B264" s="30"/>
      <c r="C264" s="30"/>
      <c r="D264" s="30"/>
      <c r="E264" s="30"/>
      <c r="F264" s="30"/>
    </row>
    <row r="265" spans="2:6" ht="15.75" customHeight="1">
      <c r="B265" s="30"/>
      <c r="C265" s="30"/>
      <c r="D265" s="30"/>
      <c r="E265" s="30"/>
      <c r="F265" s="30"/>
    </row>
    <row r="266" spans="2:6" ht="15.75" customHeight="1">
      <c r="B266" s="30"/>
      <c r="C266" s="30"/>
      <c r="D266" s="30"/>
      <c r="E266" s="30"/>
      <c r="F266" s="30"/>
    </row>
    <row r="267" spans="2:6" ht="15.75" customHeight="1">
      <c r="B267" s="30"/>
      <c r="C267" s="30"/>
      <c r="D267" s="30"/>
      <c r="E267" s="30"/>
      <c r="F267" s="30"/>
    </row>
    <row r="268" spans="2:6" ht="15.75" customHeight="1">
      <c r="B268" s="30"/>
      <c r="C268" s="30"/>
      <c r="D268" s="30"/>
      <c r="E268" s="30"/>
      <c r="F268" s="30"/>
    </row>
    <row r="269" spans="2:6" ht="15.75" customHeight="1">
      <c r="B269" s="30"/>
      <c r="C269" s="30"/>
      <c r="D269" s="30"/>
      <c r="E269" s="30"/>
      <c r="F269" s="30"/>
    </row>
    <row r="270" spans="2:6" ht="15.75" customHeight="1">
      <c r="B270" s="30"/>
      <c r="C270" s="30"/>
      <c r="D270" s="30"/>
      <c r="E270" s="30"/>
      <c r="F270" s="30"/>
    </row>
    <row r="271" spans="2:6" ht="15.75" customHeight="1">
      <c r="B271" s="30"/>
      <c r="C271" s="30"/>
      <c r="D271" s="30"/>
      <c r="E271" s="30"/>
      <c r="F271" s="30"/>
    </row>
    <row r="272" spans="2:6" ht="15.75" customHeight="1">
      <c r="B272" s="30"/>
      <c r="C272" s="30"/>
      <c r="D272" s="30"/>
      <c r="E272" s="30"/>
      <c r="F272" s="30"/>
    </row>
    <row r="273" spans="2:6" ht="15.75" customHeight="1">
      <c r="B273" s="30"/>
      <c r="C273" s="30"/>
      <c r="D273" s="30"/>
      <c r="E273" s="30"/>
      <c r="F273" s="30"/>
    </row>
    <row r="274" spans="2:6" ht="15.75" customHeight="1">
      <c r="B274" s="30"/>
      <c r="C274" s="30"/>
      <c r="D274" s="30"/>
      <c r="E274" s="30"/>
      <c r="F274" s="30"/>
    </row>
    <row r="275" spans="2:6" ht="15.75" customHeight="1">
      <c r="B275" s="30"/>
      <c r="C275" s="30"/>
      <c r="D275" s="30"/>
      <c r="E275" s="30"/>
      <c r="F275" s="30"/>
    </row>
    <row r="276" spans="2:6" ht="15.75" customHeight="1">
      <c r="B276" s="30"/>
      <c r="C276" s="30"/>
      <c r="D276" s="30"/>
      <c r="E276" s="30"/>
      <c r="F276" s="30"/>
    </row>
    <row r="277" spans="2:6" ht="15.75" customHeight="1">
      <c r="B277" s="30"/>
      <c r="C277" s="30"/>
      <c r="D277" s="30"/>
      <c r="E277" s="30"/>
      <c r="F277" s="30"/>
    </row>
    <row r="278" spans="2:6" ht="15.75" customHeight="1">
      <c r="B278" s="30"/>
      <c r="C278" s="30"/>
      <c r="D278" s="30"/>
      <c r="E278" s="30"/>
      <c r="F278" s="30"/>
    </row>
    <row r="279" spans="2:6" ht="15.75" customHeight="1">
      <c r="B279" s="30"/>
      <c r="C279" s="30"/>
      <c r="D279" s="30"/>
      <c r="E279" s="30"/>
      <c r="F279" s="30"/>
    </row>
    <row r="280" spans="2:6" ht="15.75" customHeight="1">
      <c r="B280" s="30"/>
      <c r="C280" s="30"/>
      <c r="D280" s="30"/>
      <c r="E280" s="30"/>
      <c r="F280" s="30"/>
    </row>
    <row r="281" spans="2:6" ht="15.75" customHeight="1">
      <c r="B281" s="30"/>
      <c r="C281" s="30"/>
      <c r="D281" s="30"/>
      <c r="E281" s="30"/>
      <c r="F281" s="30"/>
    </row>
    <row r="282" spans="2:6" ht="15.75" customHeight="1">
      <c r="B282" s="30"/>
      <c r="C282" s="30"/>
      <c r="D282" s="30"/>
      <c r="E282" s="30"/>
      <c r="F282" s="30"/>
    </row>
    <row r="283" spans="2:6" ht="15.75" customHeight="1">
      <c r="B283" s="30"/>
      <c r="C283" s="30"/>
      <c r="D283" s="30"/>
      <c r="E283" s="30"/>
      <c r="F283" s="30"/>
    </row>
    <row r="284" spans="2:6" ht="15.75" customHeight="1">
      <c r="B284" s="30"/>
      <c r="C284" s="30"/>
      <c r="D284" s="30"/>
      <c r="E284" s="30"/>
      <c r="F284" s="30"/>
    </row>
    <row r="285" spans="2:6" ht="15.75" customHeight="1">
      <c r="B285" s="30"/>
      <c r="C285" s="30"/>
      <c r="D285" s="30"/>
      <c r="E285" s="30"/>
      <c r="F285" s="30"/>
    </row>
    <row r="286" spans="2:6" ht="15.75" customHeight="1">
      <c r="B286" s="30"/>
      <c r="C286" s="30"/>
      <c r="D286" s="30"/>
      <c r="E286" s="30"/>
      <c r="F286" s="30"/>
    </row>
    <row r="287" spans="2:6" ht="15.75" customHeight="1">
      <c r="B287" s="30"/>
      <c r="C287" s="30"/>
      <c r="D287" s="30"/>
      <c r="E287" s="30"/>
      <c r="F287" s="30"/>
    </row>
    <row r="288" spans="2:6" ht="15.75" customHeight="1">
      <c r="B288" s="30"/>
      <c r="C288" s="30"/>
      <c r="D288" s="30"/>
      <c r="E288" s="30"/>
      <c r="F288" s="30"/>
    </row>
    <row r="289" spans="2:6" ht="15.75" customHeight="1">
      <c r="B289" s="30"/>
      <c r="C289" s="30"/>
      <c r="D289" s="30"/>
      <c r="E289" s="30"/>
      <c r="F289" s="30"/>
    </row>
    <row r="290" spans="2:6" ht="15.75" customHeight="1">
      <c r="B290" s="30"/>
      <c r="C290" s="30"/>
      <c r="D290" s="30"/>
      <c r="E290" s="30"/>
      <c r="F290" s="30"/>
    </row>
    <row r="291" spans="2:6" ht="15.75" customHeight="1">
      <c r="B291" s="30"/>
      <c r="C291" s="30"/>
      <c r="D291" s="30"/>
      <c r="E291" s="30"/>
      <c r="F291" s="30"/>
    </row>
    <row r="292" spans="2:6" ht="15.75" customHeight="1">
      <c r="B292" s="30"/>
      <c r="C292" s="30"/>
      <c r="D292" s="30"/>
      <c r="E292" s="30"/>
      <c r="F292" s="30"/>
    </row>
    <row r="293" spans="2:6" ht="15.75" customHeight="1">
      <c r="B293" s="30"/>
      <c r="C293" s="30"/>
      <c r="D293" s="30"/>
      <c r="E293" s="30"/>
      <c r="F293" s="30"/>
    </row>
    <row r="294" spans="2:6" ht="15.75" customHeight="1">
      <c r="B294" s="30"/>
      <c r="C294" s="30"/>
      <c r="D294" s="30"/>
      <c r="E294" s="30"/>
      <c r="F294" s="30"/>
    </row>
    <row r="295" spans="2:6" ht="15.75" customHeight="1">
      <c r="B295" s="30"/>
      <c r="C295" s="30"/>
      <c r="D295" s="30"/>
      <c r="E295" s="30"/>
      <c r="F295" s="30"/>
    </row>
    <row r="296" spans="2:6" ht="15.75" customHeight="1">
      <c r="B296" s="30"/>
      <c r="C296" s="30"/>
      <c r="D296" s="30"/>
      <c r="E296" s="30"/>
      <c r="F296" s="30"/>
    </row>
    <row r="297" spans="2:6" ht="15.75" customHeight="1">
      <c r="B297" s="30"/>
      <c r="C297" s="30"/>
      <c r="D297" s="30"/>
      <c r="E297" s="30"/>
      <c r="F297" s="30"/>
    </row>
    <row r="298" spans="2:6" ht="15.75" customHeight="1">
      <c r="B298" s="30"/>
      <c r="C298" s="30"/>
      <c r="D298" s="30"/>
      <c r="E298" s="30"/>
      <c r="F298" s="30"/>
    </row>
    <row r="299" spans="2:6" ht="15.75" customHeight="1">
      <c r="B299" s="30"/>
      <c r="C299" s="30"/>
      <c r="D299" s="30"/>
      <c r="E299" s="30"/>
      <c r="F299" s="30"/>
    </row>
    <row r="300" spans="2:6" ht="15.75" customHeight="1">
      <c r="B300" s="30"/>
      <c r="C300" s="30"/>
      <c r="D300" s="30"/>
      <c r="E300" s="30"/>
      <c r="F300" s="30"/>
    </row>
    <row r="301" spans="2:6" ht="15.75" customHeight="1">
      <c r="B301" s="30"/>
      <c r="C301" s="30"/>
      <c r="D301" s="30"/>
      <c r="E301" s="30"/>
      <c r="F301" s="30"/>
    </row>
    <row r="302" spans="2:6" ht="15.75" customHeight="1">
      <c r="B302" s="30"/>
      <c r="C302" s="30"/>
      <c r="D302" s="30"/>
      <c r="E302" s="30"/>
      <c r="F302" s="30"/>
    </row>
    <row r="303" spans="2:6" ht="15.75" customHeight="1">
      <c r="B303" s="30"/>
      <c r="C303" s="30"/>
      <c r="D303" s="30"/>
      <c r="E303" s="30"/>
      <c r="F303" s="30"/>
    </row>
    <row r="304" spans="2:6" ht="15.75" customHeight="1">
      <c r="B304" s="30"/>
      <c r="C304" s="30"/>
      <c r="D304" s="30"/>
      <c r="E304" s="30"/>
      <c r="F304" s="30"/>
    </row>
    <row r="305" spans="2:6" ht="15.75" customHeight="1">
      <c r="B305" s="30"/>
      <c r="C305" s="30"/>
      <c r="D305" s="30"/>
      <c r="E305" s="30"/>
      <c r="F305" s="30"/>
    </row>
    <row r="306" spans="2:6" ht="15.75" customHeight="1">
      <c r="B306" s="30"/>
      <c r="C306" s="30"/>
      <c r="D306" s="30"/>
      <c r="E306" s="30"/>
      <c r="F306" s="30"/>
    </row>
    <row r="307" spans="2:6" ht="15.75" customHeight="1">
      <c r="B307" s="30"/>
      <c r="C307" s="30"/>
      <c r="D307" s="30"/>
      <c r="E307" s="30"/>
      <c r="F307" s="30"/>
    </row>
    <row r="308" spans="2:6" ht="15.75" customHeight="1">
      <c r="B308" s="30"/>
      <c r="C308" s="30"/>
      <c r="D308" s="30"/>
      <c r="E308" s="30"/>
      <c r="F308" s="30"/>
    </row>
    <row r="309" spans="2:6" ht="15.75" customHeight="1">
      <c r="B309" s="30"/>
      <c r="C309" s="30"/>
      <c r="D309" s="30"/>
      <c r="E309" s="30"/>
      <c r="F309" s="30"/>
    </row>
    <row r="310" spans="2:6" ht="15.75" customHeight="1">
      <c r="B310" s="30"/>
      <c r="C310" s="30"/>
      <c r="D310" s="30"/>
      <c r="E310" s="30"/>
      <c r="F310" s="30"/>
    </row>
    <row r="311" spans="2:6" ht="15.75" customHeight="1">
      <c r="B311" s="30"/>
      <c r="C311" s="30"/>
      <c r="D311" s="30"/>
      <c r="E311" s="30"/>
      <c r="F311" s="30"/>
    </row>
    <row r="312" spans="2:6" ht="15.75" customHeight="1">
      <c r="B312" s="30"/>
      <c r="C312" s="30"/>
      <c r="D312" s="30"/>
      <c r="E312" s="30"/>
      <c r="F312" s="30"/>
    </row>
    <row r="313" spans="2:6" ht="15.75" customHeight="1">
      <c r="B313" s="30"/>
      <c r="C313" s="30"/>
      <c r="D313" s="30"/>
      <c r="E313" s="30"/>
      <c r="F313" s="30"/>
    </row>
    <row r="314" spans="2:6" ht="15.75" customHeight="1">
      <c r="B314" s="30"/>
      <c r="C314" s="30"/>
      <c r="D314" s="30"/>
      <c r="E314" s="30"/>
      <c r="F314" s="30"/>
    </row>
    <row r="315" spans="2:6" ht="15.75" customHeight="1">
      <c r="B315" s="30"/>
      <c r="C315" s="30"/>
      <c r="D315" s="30"/>
      <c r="E315" s="30"/>
      <c r="F315" s="30"/>
    </row>
    <row r="316" spans="2:6" ht="15.75" customHeight="1">
      <c r="B316" s="30"/>
      <c r="C316" s="30"/>
      <c r="D316" s="30"/>
      <c r="E316" s="30"/>
      <c r="F316" s="30"/>
    </row>
    <row r="317" spans="2:6" ht="15.75" customHeight="1">
      <c r="B317" s="30"/>
      <c r="C317" s="30"/>
      <c r="D317" s="30"/>
      <c r="E317" s="30"/>
      <c r="F317" s="30"/>
    </row>
    <row r="318" spans="2:6" ht="15.75" customHeight="1">
      <c r="B318" s="30"/>
      <c r="C318" s="30"/>
      <c r="D318" s="30"/>
      <c r="E318" s="30"/>
      <c r="F318" s="30"/>
    </row>
    <row r="319" spans="2:6" ht="15.75" customHeight="1">
      <c r="B319" s="30"/>
      <c r="C319" s="30"/>
      <c r="D319" s="30"/>
      <c r="E319" s="30"/>
      <c r="F319" s="30"/>
    </row>
    <row r="320" spans="2:6" ht="15.75" customHeight="1">
      <c r="B320" s="30"/>
      <c r="C320" s="30"/>
      <c r="D320" s="30"/>
      <c r="E320" s="30"/>
      <c r="F320" s="30"/>
    </row>
    <row r="321" spans="2:6" ht="15.75" customHeight="1">
      <c r="B321" s="30"/>
      <c r="C321" s="30"/>
      <c r="D321" s="30"/>
      <c r="E321" s="30"/>
      <c r="F321" s="30"/>
    </row>
    <row r="322" spans="2:6" ht="15.75" customHeight="1">
      <c r="B322" s="30"/>
      <c r="C322" s="30"/>
      <c r="D322" s="30"/>
      <c r="E322" s="30"/>
      <c r="F322" s="30"/>
    </row>
    <row r="323" spans="2:6" ht="15.75" customHeight="1">
      <c r="B323" s="30"/>
      <c r="C323" s="30"/>
      <c r="D323" s="30"/>
      <c r="E323" s="30"/>
      <c r="F323" s="30"/>
    </row>
    <row r="324" spans="2:6" ht="15.75" customHeight="1">
      <c r="B324" s="30"/>
      <c r="C324" s="30"/>
      <c r="D324" s="30"/>
      <c r="E324" s="30"/>
      <c r="F324" s="30"/>
    </row>
    <row r="325" spans="2:6" ht="15.75" customHeight="1">
      <c r="B325" s="30"/>
      <c r="C325" s="30"/>
      <c r="D325" s="30"/>
      <c r="E325" s="30"/>
      <c r="F325" s="30"/>
    </row>
    <row r="326" spans="2:6" ht="15.75" customHeight="1">
      <c r="B326" s="30"/>
      <c r="C326" s="30"/>
      <c r="D326" s="30"/>
      <c r="E326" s="30"/>
      <c r="F326" s="30"/>
    </row>
    <row r="327" spans="2:6" ht="15.75" customHeight="1">
      <c r="B327" s="30"/>
      <c r="C327" s="30"/>
      <c r="D327" s="30"/>
      <c r="E327" s="30"/>
      <c r="F327" s="30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4" t="s">
        <v>576</v>
      </c>
      <c r="B1" s="35" t="s">
        <v>752</v>
      </c>
      <c r="C1" s="34" t="s">
        <v>2</v>
      </c>
      <c r="D1" s="34" t="s">
        <v>4</v>
      </c>
      <c r="E1" s="36"/>
      <c r="F1" s="36" t="s">
        <v>20</v>
      </c>
      <c r="G1" s="36" t="s">
        <v>753</v>
      </c>
      <c r="H1" s="36" t="s">
        <v>21</v>
      </c>
      <c r="I1" s="36" t="s">
        <v>754</v>
      </c>
      <c r="J1" s="36" t="s">
        <v>22</v>
      </c>
      <c r="K1" s="36" t="s">
        <v>293</v>
      </c>
      <c r="L1" s="36"/>
      <c r="M1" s="36" t="s">
        <v>116</v>
      </c>
      <c r="N1" s="36" t="s">
        <v>117</v>
      </c>
      <c r="O1" s="36" t="s">
        <v>118</v>
      </c>
      <c r="P1" s="36" t="s">
        <v>119</v>
      </c>
      <c r="Q1" s="36" t="s">
        <v>755</v>
      </c>
      <c r="R1" s="36" t="s">
        <v>149</v>
      </c>
    </row>
    <row r="2" spans="1:18" ht="15.75" customHeight="1">
      <c r="A2" s="17" t="s">
        <v>361</v>
      </c>
      <c r="B2" s="12">
        <v>5490529</v>
      </c>
      <c r="C2" s="12" t="s">
        <v>107</v>
      </c>
      <c r="D2" s="12" t="s">
        <v>107</v>
      </c>
      <c r="E2" s="12" t="str">
        <f>IFERROR(VLOOKUP(D2,'Cadastro de assessores'!A:B,2,FALSE),"Não Cadastrado")</f>
        <v>18986</v>
      </c>
      <c r="F2" s="37" t="s">
        <v>25</v>
      </c>
      <c r="G2" s="37" t="s">
        <v>756</v>
      </c>
      <c r="H2" s="38">
        <v>44222</v>
      </c>
      <c r="I2" s="12" t="s">
        <v>757</v>
      </c>
      <c r="J2" s="18">
        <v>0.02</v>
      </c>
      <c r="K2" s="39" t="s">
        <v>328</v>
      </c>
      <c r="L2" s="40" t="s">
        <v>12</v>
      </c>
      <c r="M2" s="40">
        <v>124054.43</v>
      </c>
      <c r="N2" s="40">
        <v>115021.75</v>
      </c>
      <c r="O2" s="40">
        <v>124854.25</v>
      </c>
      <c r="P2" s="40">
        <v>124900.58</v>
      </c>
      <c r="Q2" s="40">
        <v>129858.96</v>
      </c>
      <c r="R2" s="41">
        <v>131958.1</v>
      </c>
    </row>
    <row r="3" spans="1:18" ht="15.75" customHeight="1">
      <c r="A3" s="17" t="s">
        <v>501</v>
      </c>
      <c r="B3" s="12">
        <v>1759765</v>
      </c>
      <c r="C3" s="12" t="s">
        <v>11</v>
      </c>
      <c r="D3" s="12" t="s">
        <v>130</v>
      </c>
      <c r="E3" s="12" t="str">
        <f>IFERROR(VLOOKUP(D3,'Cadastro de assessores'!A:B,2,FALSE),"Não Cadastrado")</f>
        <v>14739</v>
      </c>
      <c r="F3" s="37" t="s">
        <v>25</v>
      </c>
      <c r="G3" s="37" t="s">
        <v>756</v>
      </c>
      <c r="H3" s="38">
        <v>44321</v>
      </c>
      <c r="I3" s="12" t="s">
        <v>15</v>
      </c>
      <c r="J3" s="18">
        <v>1.2E-2</v>
      </c>
      <c r="K3" s="39" t="s">
        <v>314</v>
      </c>
      <c r="L3" s="40" t="s">
        <v>12</v>
      </c>
      <c r="M3" s="40"/>
      <c r="N3" s="40"/>
      <c r="O3" s="40"/>
      <c r="P3" s="40"/>
      <c r="Q3" s="40">
        <v>271738.86</v>
      </c>
      <c r="R3" s="40">
        <v>279151.86</v>
      </c>
    </row>
    <row r="4" spans="1:18" ht="15.75" customHeight="1">
      <c r="B4" s="30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42" t="s">
        <v>4</v>
      </c>
      <c r="B1" s="43" t="s">
        <v>758</v>
      </c>
      <c r="C1" s="42" t="s">
        <v>20</v>
      </c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</row>
    <row r="2" spans="1:23" ht="15.75" customHeight="1">
      <c r="A2" s="45" t="s">
        <v>297</v>
      </c>
      <c r="B2" s="43" t="s">
        <v>759</v>
      </c>
      <c r="C2" s="42" t="str">
        <f ca="1">IFERROR(__xludf.DUMMYFUNCTION("IF(COUNTA(filter(B:B,B:B=B2))=1,""Regular"",""Conta Repetida"")"),"Regular")</f>
        <v>Regular</v>
      </c>
      <c r="D2" s="44"/>
      <c r="E2" s="44"/>
      <c r="F2" s="21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3" spans="1:23" ht="15.75" customHeight="1">
      <c r="A3" s="42" t="s">
        <v>551</v>
      </c>
      <c r="B3" s="43" t="s">
        <v>760</v>
      </c>
      <c r="C3" s="42" t="str">
        <f ca="1">IFERROR(__xludf.DUMMYFUNCTION("IF(COUNTA(filter(B:B,B:B=B3))=1,""Regular"",""Conta Repetida"")"),"Regular")</f>
        <v>Regular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</row>
    <row r="4" spans="1:23" ht="15.75" customHeight="1">
      <c r="A4" s="42" t="s">
        <v>368</v>
      </c>
      <c r="B4" s="43" t="s">
        <v>761</v>
      </c>
      <c r="C4" s="42" t="str">
        <f ca="1">IFERROR(__xludf.DUMMYFUNCTION("IF(COUNTA(filter(B:B,B:B=B4))=1,""Regular"",""Conta Repetida"")"),"Regular")</f>
        <v>Regular</v>
      </c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</row>
    <row r="5" spans="1:23" ht="15.75" customHeight="1">
      <c r="A5" s="42" t="s">
        <v>88</v>
      </c>
      <c r="B5" s="43" t="s">
        <v>762</v>
      </c>
      <c r="C5" s="42" t="str">
        <f ca="1">IFERROR(__xludf.DUMMYFUNCTION("IF(COUNTA(filter(B:B,B:B=B5))=1,""Regular"",""Conta Repetida"")"),"Regular")</f>
        <v>Regular</v>
      </c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</row>
    <row r="6" spans="1:23" ht="15.75" customHeight="1">
      <c r="A6" s="42" t="s">
        <v>138</v>
      </c>
      <c r="B6" s="43" t="s">
        <v>763</v>
      </c>
      <c r="C6" s="42" t="str">
        <f ca="1">IFERROR(__xludf.DUMMYFUNCTION("IF(COUNTA(filter(B:B,B:B=B6))=1,""Regular"",""Conta Repetida"")"),"Regular")</f>
        <v>Regular</v>
      </c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</row>
    <row r="7" spans="1:23" ht="15.75" customHeight="1">
      <c r="A7" s="42" t="s">
        <v>128</v>
      </c>
      <c r="B7" s="43" t="s">
        <v>764</v>
      </c>
      <c r="C7" s="42" t="str">
        <f ca="1">IFERROR(__xludf.DUMMYFUNCTION("IF(COUNTA(filter(B:B,B:B=B7))=1,""Regular"",""Conta Repetida"")"),"Regular")</f>
        <v>Regular</v>
      </c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</row>
    <row r="8" spans="1:23" ht="15.75" customHeight="1">
      <c r="A8" s="42" t="s">
        <v>765</v>
      </c>
      <c r="B8" s="43" t="s">
        <v>766</v>
      </c>
      <c r="C8" s="42" t="str">
        <f ca="1">IFERROR(__xludf.DUMMYFUNCTION("IF(COUNTA(filter(B:B,B:B=B8))=1,""Regular"",""Conta Repetida"")"),"Regular")</f>
        <v>Regular</v>
      </c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</row>
    <row r="9" spans="1:23" ht="15.75" customHeight="1">
      <c r="A9" s="42" t="s">
        <v>311</v>
      </c>
      <c r="B9" s="43" t="s">
        <v>767</v>
      </c>
      <c r="C9" s="42" t="str">
        <f ca="1">IFERROR(__xludf.DUMMYFUNCTION("IF(COUNTA(filter(B:B,B:B=B9))=1,""Regular"",""Conta Repetida"")"),"Regular")</f>
        <v>Regular</v>
      </c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</row>
    <row r="10" spans="1:23" ht="15.75" customHeight="1">
      <c r="A10" s="42" t="s">
        <v>312</v>
      </c>
      <c r="B10" s="43" t="s">
        <v>768</v>
      </c>
      <c r="C10" s="42" t="str">
        <f ca="1">IFERROR(__xludf.DUMMYFUNCTION("IF(COUNTA(filter(B:B,B:B=B10))=1,""Regular"",""Conta Repetida"")"),"Regular")</f>
        <v>Regular</v>
      </c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</row>
    <row r="11" spans="1:23" ht="15.75" customHeight="1">
      <c r="A11" s="42" t="s">
        <v>107</v>
      </c>
      <c r="B11" s="43" t="s">
        <v>769</v>
      </c>
      <c r="C11" s="42" t="str">
        <f ca="1">IFERROR(__xludf.DUMMYFUNCTION("IF(COUNTA(filter(B:B,B:B=B11))=1,""Regular"",""Conta Repetida"")"),"Regular")</f>
        <v>Regular</v>
      </c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</row>
    <row r="12" spans="1:23" ht="15.75" customHeight="1">
      <c r="A12" s="42" t="s">
        <v>556</v>
      </c>
      <c r="B12" s="43" t="s">
        <v>770</v>
      </c>
      <c r="C12" s="42" t="str">
        <f ca="1">IFERROR(__xludf.DUMMYFUNCTION("IF(COUNTA(filter(B:B,B:B=B12))=1,""Regular"",""Conta Repetida"")"),"Regular")</f>
        <v>Regular</v>
      </c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</row>
    <row r="13" spans="1:23" ht="15.75" customHeight="1">
      <c r="A13" s="42" t="s">
        <v>318</v>
      </c>
      <c r="B13" s="43" t="s">
        <v>771</v>
      </c>
      <c r="C13" s="42" t="str">
        <f ca="1">IFERROR(__xludf.DUMMYFUNCTION("IF(COUNTA(filter(B:B,B:B=B13))=1,""Regular"",""Conta Repetida"")"),"Regular")</f>
        <v>Regular</v>
      </c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</row>
    <row r="14" spans="1:23" ht="15.75" customHeight="1">
      <c r="A14" s="42" t="s">
        <v>772</v>
      </c>
      <c r="B14" s="43" t="s">
        <v>773</v>
      </c>
      <c r="C14" s="42" t="str">
        <f ca="1">IFERROR(__xludf.DUMMYFUNCTION("IF(COUNTA(filter(B:B,B:B=B14))=1,""Regular"",""Conta Repetida"")"),"Regular")</f>
        <v>Regular</v>
      </c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</row>
    <row r="15" spans="1:23" ht="15.75" customHeight="1">
      <c r="A15" s="42" t="s">
        <v>13</v>
      </c>
      <c r="B15" s="43" t="s">
        <v>774</v>
      </c>
      <c r="C15" s="42" t="str">
        <f ca="1">IFERROR(__xludf.DUMMYFUNCTION("IF(COUNTA(filter(B:B,B:B=B15))=1,""Regular"",""Conta Repetida"")"),"Regular")</f>
        <v>Regular</v>
      </c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</row>
    <row r="16" spans="1:23" ht="15.75" customHeight="1">
      <c r="A16" s="42" t="s">
        <v>538</v>
      </c>
      <c r="B16" s="43" t="s">
        <v>775</v>
      </c>
      <c r="C16" s="42" t="str">
        <f ca="1">IFERROR(__xludf.DUMMYFUNCTION("IF(COUNTA(filter(B:B,B:B=B16))=1,""Regular"",""Conta Repetida"")"),"Regular")</f>
        <v>Regular</v>
      </c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</row>
    <row r="17" spans="1:23" ht="15.75" customHeight="1">
      <c r="A17" s="42" t="s">
        <v>322</v>
      </c>
      <c r="B17" s="43" t="s">
        <v>776</v>
      </c>
      <c r="C17" s="42" t="str">
        <f ca="1">IFERROR(__xludf.DUMMYFUNCTION("IF(COUNTA(filter(B:B,B:B=B17))=1,""Regular"",""Conta Repetida"")"),"Regular")</f>
        <v>Regular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</row>
    <row r="18" spans="1:23" ht="15.75" customHeight="1">
      <c r="A18" s="42" t="s">
        <v>33</v>
      </c>
      <c r="B18" s="43" t="s">
        <v>513</v>
      </c>
      <c r="C18" s="42" t="str">
        <f ca="1">IFERROR(__xludf.DUMMYFUNCTION("IF(COUNTA(filter(B:B,B:B=B18))=1,""Regular"",""Conta Repetida"")"),"Regular")</f>
        <v>Regular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</row>
    <row r="19" spans="1:23" ht="15.75" customHeight="1">
      <c r="A19" s="42" t="s">
        <v>42</v>
      </c>
      <c r="B19" s="43" t="s">
        <v>777</v>
      </c>
      <c r="C19" s="42" t="str">
        <f ca="1">IFERROR(__xludf.DUMMYFUNCTION("IF(COUNTA(filter(B:B,B:B=B19))=1,""Regular"",""Conta Repetida"")"),"Regular")</f>
        <v>Regular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</row>
    <row r="20" spans="1:23" ht="15.75" customHeight="1">
      <c r="A20" s="42" t="s">
        <v>778</v>
      </c>
      <c r="B20" s="43" t="s">
        <v>779</v>
      </c>
      <c r="C20" s="42" t="str">
        <f ca="1">IFERROR(__xludf.DUMMYFUNCTION("IF(COUNTA(filter(B:B,B:B=B20))=1,""Regular"",""Conta Repetida"")"),"Regular")</f>
        <v>Regular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</row>
    <row r="21" spans="1:23" ht="15.75" customHeight="1">
      <c r="A21" s="42" t="s">
        <v>334</v>
      </c>
      <c r="B21" s="43" t="s">
        <v>780</v>
      </c>
      <c r="C21" s="42" t="str">
        <f ca="1">IFERROR(__xludf.DUMMYFUNCTION("IF(COUNTA(filter(B:B,B:B=B21))=1,""Regular"",""Conta Repetida"")"),"Regular")</f>
        <v>Regular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</row>
    <row r="22" spans="1:23" ht="15.75" customHeight="1">
      <c r="A22" s="42" t="s">
        <v>108</v>
      </c>
      <c r="B22" s="43" t="s">
        <v>781</v>
      </c>
      <c r="C22" s="42" t="str">
        <f ca="1">IFERROR(__xludf.DUMMYFUNCTION("IF(COUNTA(filter(B:B,B:B=B22))=1,""Regular"",""Conta Repetida"")"),"Regular")</f>
        <v>Regular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</row>
    <row r="23" spans="1:23" ht="15.75" customHeight="1">
      <c r="A23" s="42" t="s">
        <v>336</v>
      </c>
      <c r="B23" s="43" t="s">
        <v>782</v>
      </c>
      <c r="C23" s="42" t="str">
        <f ca="1">IFERROR(__xludf.DUMMYFUNCTION("IF(COUNTA(filter(B:B,B:B=B23))=1,""Regular"",""Conta Repetida"")"),"Regular")</f>
        <v>Regular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</row>
    <row r="24" spans="1:23" ht="15.75" customHeight="1">
      <c r="A24" s="42" t="s">
        <v>27</v>
      </c>
      <c r="B24" s="43" t="s">
        <v>783</v>
      </c>
      <c r="C24" s="42" t="str">
        <f ca="1">IFERROR(__xludf.DUMMYFUNCTION("IF(COUNTA(filter(B:B,B:B=B24))=1,""Regular"",""Conta Repetida"")"),"Regular")</f>
        <v>Regular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</row>
    <row r="25" spans="1:23" ht="15.75" customHeight="1">
      <c r="A25" s="42" t="s">
        <v>110</v>
      </c>
      <c r="B25" s="43" t="s">
        <v>784</v>
      </c>
      <c r="C25" s="42" t="str">
        <f ca="1">IFERROR(__xludf.DUMMYFUNCTION("IF(COUNTA(filter(B:B,B:B=B25))=1,""Regular"",""Conta Repetida"")"),"Regular")</f>
        <v>Regular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</row>
    <row r="26" spans="1:23" ht="15.75" customHeight="1">
      <c r="A26" s="42" t="s">
        <v>35</v>
      </c>
      <c r="B26" s="43" t="s">
        <v>785</v>
      </c>
      <c r="C26" s="42" t="str">
        <f ca="1">IFERROR(__xludf.DUMMYFUNCTION("IF(COUNTA(filter(B:B,B:B=B26))=1,""Regular"",""Conta Repetida"")"),"Regular")</f>
        <v>Regular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</row>
    <row r="27" spans="1:23" ht="15.75" customHeight="1">
      <c r="A27" s="42" t="s">
        <v>536</v>
      </c>
      <c r="B27" s="43" t="s">
        <v>786</v>
      </c>
      <c r="C27" s="42" t="str">
        <f ca="1">IFERROR(__xludf.DUMMYFUNCTION("IF(COUNTA(filter(B:B,B:B=B27))=1,""Regular"",""Conta Repetida"")"),"Regular")</f>
        <v>Regular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</row>
    <row r="28" spans="1:23" ht="15.75" customHeight="1">
      <c r="A28" s="42" t="s">
        <v>355</v>
      </c>
      <c r="B28" s="43" t="s">
        <v>787</v>
      </c>
      <c r="C28" s="42" t="str">
        <f ca="1">IFERROR(__xludf.DUMMYFUNCTION("IF(COUNTA(filter(B:B,B:B=B28))=1,""Regular"",""Conta Repetida"")"),"Regular")</f>
        <v>Regular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</row>
    <row r="29" spans="1:23" ht="15.75" customHeight="1">
      <c r="A29" s="42" t="s">
        <v>357</v>
      </c>
      <c r="B29" s="43" t="s">
        <v>788</v>
      </c>
      <c r="C29" s="42" t="str">
        <f ca="1">IFERROR(__xludf.DUMMYFUNCTION("IF(COUNTA(filter(B:B,B:B=B29))=1,""Regular"",""Conta Repetida"")"),"Regular")</f>
        <v>Regular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</row>
    <row r="30" spans="1:23" ht="15.75" customHeight="1">
      <c r="A30" s="42" t="s">
        <v>358</v>
      </c>
      <c r="B30" s="43" t="s">
        <v>789</v>
      </c>
      <c r="C30" s="42" t="str">
        <f ca="1">IFERROR(__xludf.DUMMYFUNCTION("IF(COUNTA(filter(B:B,B:B=B30))=1,""Regular"",""Conta Repetida"")"),"Regular")</f>
        <v>Regular</v>
      </c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</row>
    <row r="31" spans="1:23" ht="15.75" customHeight="1">
      <c r="A31" s="42" t="s">
        <v>790</v>
      </c>
      <c r="B31" s="43" t="s">
        <v>791</v>
      </c>
      <c r="C31" s="42" t="str">
        <f ca="1">IFERROR(__xludf.DUMMYFUNCTION("IF(COUNTA(filter(B:B,B:B=B31))=1,""Regular"",""Conta Repetida"")"),"Regular")</f>
        <v>Regular</v>
      </c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</row>
    <row r="32" spans="1:23" ht="15.75" customHeight="1">
      <c r="A32" s="42" t="s">
        <v>411</v>
      </c>
      <c r="B32" s="43" t="s">
        <v>792</v>
      </c>
      <c r="C32" s="42" t="str">
        <f ca="1">IFERROR(__xludf.DUMMYFUNCTION("IF(COUNTA(filter(B:B,B:B=B32))=1,""Regular"",""Conta Repetida"")"),"Regular")</f>
        <v>Regular</v>
      </c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</row>
    <row r="33" spans="1:23" ht="15.75" customHeight="1">
      <c r="A33" s="42" t="s">
        <v>510</v>
      </c>
      <c r="B33" s="43" t="s">
        <v>793</v>
      </c>
      <c r="C33" s="42" t="str">
        <f ca="1">IFERROR(__xludf.DUMMYFUNCTION("IF(COUNTA(filter(B:B,B:B=B33))=1,""Regular"",""Conta Repetida"")"),"Regular")</f>
        <v>Regular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</row>
    <row r="34" spans="1:23" ht="15.75" customHeight="1">
      <c r="A34" s="42" t="s">
        <v>365</v>
      </c>
      <c r="B34" s="43" t="s">
        <v>794</v>
      </c>
      <c r="C34" s="42" t="str">
        <f ca="1">IFERROR(__xludf.DUMMYFUNCTION("IF(COUNTA(filter(B:B,B:B=B34))=1,""Regular"",""Conta Repetida"")"),"Regular")</f>
        <v>Regular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</row>
    <row r="35" spans="1:23" ht="15.75" customHeight="1">
      <c r="A35" s="42" t="s">
        <v>24</v>
      </c>
      <c r="B35" s="43" t="s">
        <v>795</v>
      </c>
      <c r="C35" s="42" t="str">
        <f ca="1">IFERROR(__xludf.DUMMYFUNCTION("IF(COUNTA(filter(B:B,B:B=B35))=1,""Regular"",""Conta Repetida"")"),"Regular")</f>
        <v>Regular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</row>
    <row r="36" spans="1:23" ht="15.75" customHeight="1">
      <c r="A36" s="42" t="s">
        <v>369</v>
      </c>
      <c r="B36" s="43" t="s">
        <v>796</v>
      </c>
      <c r="C36" s="42" t="str">
        <f ca="1">IFERROR(__xludf.DUMMYFUNCTION("IF(COUNTA(filter(B:B,B:B=B36))=1,""Regular"",""Conta Repetida"")"),"Regular")</f>
        <v>Regular</v>
      </c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</row>
    <row r="37" spans="1:23" ht="15.75" customHeight="1">
      <c r="A37" s="42" t="s">
        <v>30</v>
      </c>
      <c r="B37" s="43" t="s">
        <v>797</v>
      </c>
      <c r="C37" s="42" t="str">
        <f ca="1">IFERROR(__xludf.DUMMYFUNCTION("IF(COUNTA(filter(B:B,B:B=B37))=1,""Regular"",""Conta Repetida"")"),"Regular")</f>
        <v>Regular</v>
      </c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</row>
    <row r="38" spans="1:23" ht="15.75" customHeight="1">
      <c r="A38" s="42" t="s">
        <v>798</v>
      </c>
      <c r="B38" s="43" t="s">
        <v>799</v>
      </c>
      <c r="C38" s="42" t="str">
        <f ca="1">IFERROR(__xludf.DUMMYFUNCTION("IF(COUNTA(filter(B:B,B:B=B38))=1,""Regular"",""Conta Repetida"")"),"Regular")</f>
        <v>Regular</v>
      </c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</row>
    <row r="39" spans="1:23" ht="15.75" customHeight="1">
      <c r="A39" s="42" t="s">
        <v>316</v>
      </c>
      <c r="B39" s="43" t="s">
        <v>800</v>
      </c>
      <c r="C39" s="42" t="str">
        <f ca="1">IFERROR(__xludf.DUMMYFUNCTION("IF(COUNTA(filter(B:B,B:B=B39))=1,""Regular"",""Conta Repetida"")"),"Regular")</f>
        <v>Regular</v>
      </c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</row>
    <row r="40" spans="1:23" ht="15.75" customHeight="1">
      <c r="A40" s="42" t="s">
        <v>375</v>
      </c>
      <c r="B40" s="43" t="s">
        <v>801</v>
      </c>
      <c r="C40" s="42" t="str">
        <f ca="1">IFERROR(__xludf.DUMMYFUNCTION("IF(COUNTA(filter(B:B,B:B=B40))=1,""Regular"",""Conta Repetida"")"),"Regular")</f>
        <v>Regular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</row>
    <row r="41" spans="1:23" ht="15.75" customHeight="1">
      <c r="A41" s="42" t="s">
        <v>377</v>
      </c>
      <c r="B41" s="43" t="s">
        <v>802</v>
      </c>
      <c r="C41" s="42" t="str">
        <f ca="1">IFERROR(__xludf.DUMMYFUNCTION("IF(COUNTA(filter(B:B,B:B=B41))=1,""Regular"",""Conta Repetida"")"),"Regular")</f>
        <v>Regular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</row>
    <row r="42" spans="1:23" ht="15.75" customHeight="1">
      <c r="A42" s="42" t="s">
        <v>803</v>
      </c>
      <c r="B42" s="43" t="s">
        <v>804</v>
      </c>
      <c r="C42" s="42" t="str">
        <f ca="1">IFERROR(__xludf.DUMMYFUNCTION("IF(COUNTA(filter(B:B,B:B=B42))=1,""Regular"",""Conta Repetida"")"),"Regular")</f>
        <v>Regular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</row>
    <row r="43" spans="1:23" ht="15.75" customHeight="1">
      <c r="A43" s="42" t="s">
        <v>125</v>
      </c>
      <c r="B43" s="43" t="s">
        <v>805</v>
      </c>
      <c r="C43" s="42" t="str">
        <f ca="1">IFERROR(__xludf.DUMMYFUNCTION("IF(COUNTA(filter(B:B,B:B=B43))=1,""Regular"",""Conta Repetida"")"),"Regular")</f>
        <v>Regular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</row>
    <row r="44" spans="1:23" ht="15.75" customHeight="1">
      <c r="A44" s="42" t="s">
        <v>806</v>
      </c>
      <c r="B44" s="43" t="s">
        <v>807</v>
      </c>
      <c r="C44" s="42" t="str">
        <f ca="1">IFERROR(__xludf.DUMMYFUNCTION("IF(COUNTA(filter(B:B,B:B=B44))=1,""Regular"",""Conta Repetida"")"),"Regular")</f>
        <v>Regular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</row>
    <row r="45" spans="1:23" ht="15.75" customHeight="1">
      <c r="A45" s="42" t="s">
        <v>400</v>
      </c>
      <c r="B45" s="43" t="s">
        <v>808</v>
      </c>
      <c r="C45" s="42" t="str">
        <f ca="1">IFERROR(__xludf.DUMMYFUNCTION("IF(COUNTA(filter(B:B,B:B=B45))=1,""Regular"",""Conta Repetida"")"),"Regular")</f>
        <v>Regular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</row>
    <row r="46" spans="1:23" ht="15.75" customHeight="1">
      <c r="A46" s="42" t="s">
        <v>130</v>
      </c>
      <c r="B46" s="43" t="s">
        <v>809</v>
      </c>
      <c r="C46" s="42" t="str">
        <f ca="1">IFERROR(__xludf.DUMMYFUNCTION("IF(COUNTA(filter(B:B,B:B=B46))=1,""Regular"",""Conta Repetida"")"),"Regular")</f>
        <v>Regular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</row>
    <row r="47" spans="1:23" ht="15.75" customHeight="1">
      <c r="A47" s="42" t="s">
        <v>402</v>
      </c>
      <c r="B47" s="43" t="s">
        <v>810</v>
      </c>
      <c r="C47" s="42" t="str">
        <f ca="1">IFERROR(__xludf.DUMMYFUNCTION("IF(COUNTA(filter(B:B,B:B=B47))=1,""Regular"",""Conta Repetida"")"),"Regular")</f>
        <v>Regular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</row>
    <row r="48" spans="1:23" ht="15.75" customHeight="1">
      <c r="A48" s="42" t="s">
        <v>811</v>
      </c>
      <c r="B48" s="43" t="s">
        <v>812</v>
      </c>
      <c r="C48" s="42" t="str">
        <f ca="1">IFERROR(__xludf.DUMMYFUNCTION("IF(COUNTA(filter(B:B,B:B=B48))=1,""Regular"",""Conta Repetida"")"),"Regular")</f>
        <v>Regular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</row>
    <row r="49" spans="1:23" ht="15.75" customHeight="1">
      <c r="A49" s="42" t="s">
        <v>413</v>
      </c>
      <c r="B49" s="43" t="s">
        <v>813</v>
      </c>
      <c r="C49" s="42" t="str">
        <f ca="1">IFERROR(__xludf.DUMMYFUNCTION("IF(COUNTA(filter(B:B,B:B=B49))=1,""Regular"",""Conta Repetida"")"),"Regular")</f>
        <v>Regular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</row>
    <row r="50" spans="1:23" ht="15.75" customHeight="1">
      <c r="A50" s="42" t="s">
        <v>814</v>
      </c>
      <c r="B50" s="43" t="s">
        <v>815</v>
      </c>
      <c r="C50" s="42" t="str">
        <f ca="1">IFERROR(__xludf.DUMMYFUNCTION("IF(COUNTA(filter(B:B,B:B=B50))=1,""Regular"",""Conta Repetida"")"),"Regular")</f>
        <v>Regular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</row>
    <row r="51" spans="1:23" ht="15.75" customHeight="1">
      <c r="A51" s="42" t="s">
        <v>434</v>
      </c>
      <c r="B51" s="43" t="s">
        <v>816</v>
      </c>
      <c r="C51" s="42" t="str">
        <f ca="1">IFERROR(__xludf.DUMMYFUNCTION("IF(COUNTA(filter(B:B,B:B=B51))=1,""Regular"",""Conta Repetida"")"),"Regular")</f>
        <v>Regular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</row>
    <row r="52" spans="1:23" ht="15.75" customHeight="1">
      <c r="A52" s="42" t="s">
        <v>137</v>
      </c>
      <c r="B52" s="43" t="s">
        <v>817</v>
      </c>
      <c r="C52" s="42" t="str">
        <f ca="1">IFERROR(__xludf.DUMMYFUNCTION("IF(COUNTA(filter(B:B,B:B=B52))=1,""Regular"",""Conta Repetida"")"),"Regular")</f>
        <v>Regular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</row>
    <row r="53" spans="1:23" ht="15.75" customHeight="1">
      <c r="A53" s="42" t="s">
        <v>135</v>
      </c>
      <c r="B53" s="43" t="s">
        <v>818</v>
      </c>
      <c r="C53" s="42" t="str">
        <f ca="1">IFERROR(__xludf.DUMMYFUNCTION("IF(COUNTA(filter(B:B,B:B=B53))=1,""Regular"",""Conta Repetida"")"),"Regular")</f>
        <v>Regular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</row>
    <row r="54" spans="1:23" ht="15.75" customHeight="1">
      <c r="A54" s="42" t="s">
        <v>819</v>
      </c>
      <c r="B54" s="43" t="s">
        <v>820</v>
      </c>
      <c r="C54" s="42" t="str">
        <f ca="1">IFERROR(__xludf.DUMMYFUNCTION("IF(COUNTA(filter(B:B,B:B=B54))=1,""Regular"",""Conta Repetida"")"),"Regular")</f>
        <v>Regular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</row>
    <row r="55" spans="1:23" ht="15.75" customHeight="1">
      <c r="A55" s="42" t="s">
        <v>465</v>
      </c>
      <c r="B55" s="43" t="s">
        <v>821</v>
      </c>
      <c r="C55" s="42" t="str">
        <f ca="1">IFERROR(__xludf.DUMMYFUNCTION("IF(COUNTA(filter(B:B,B:B=B55))=1,""Regular"",""Conta Repetida"")"),"Regular")</f>
        <v>Regular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</row>
    <row r="56" spans="1:23" ht="15.75" customHeight="1">
      <c r="A56" s="42" t="s">
        <v>471</v>
      </c>
      <c r="B56" s="43" t="s">
        <v>822</v>
      </c>
      <c r="C56" s="42" t="str">
        <f ca="1">IFERROR(__xludf.DUMMYFUNCTION("IF(COUNTA(filter(B:B,B:B=B56))=1,""Regular"",""Conta Repetida"")"),"Regular")</f>
        <v>Regular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</row>
    <row r="57" spans="1:23" ht="15.75" customHeight="1">
      <c r="A57" s="42" t="s">
        <v>476</v>
      </c>
      <c r="B57" s="43" t="s">
        <v>823</v>
      </c>
      <c r="C57" s="42" t="str">
        <f ca="1">IFERROR(__xludf.DUMMYFUNCTION("IF(COUNTA(filter(B:B,B:B=B57))=1,""Regular"",""Conta Repetida"")"),"Regular")</f>
        <v>Regular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</row>
    <row r="58" spans="1:23" ht="15.75" customHeight="1">
      <c r="A58" s="42" t="s">
        <v>483</v>
      </c>
      <c r="B58" s="43" t="s">
        <v>824</v>
      </c>
      <c r="C58" s="42" t="str">
        <f ca="1">IFERROR(__xludf.DUMMYFUNCTION("IF(COUNTA(filter(B:B,B:B=B58))=1,""Regular"",""Conta Repetida"")"),"Regular")</f>
        <v>Regular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</row>
    <row r="59" spans="1:23" ht="15.75" customHeight="1">
      <c r="A59" s="42" t="s">
        <v>408</v>
      </c>
      <c r="B59" s="43" t="s">
        <v>825</v>
      </c>
      <c r="C59" s="42" t="str">
        <f ca="1">IFERROR(__xludf.DUMMYFUNCTION("IF(COUNTA(filter(B:B,B:B=B59))=1,""Regular"",""Conta Repetida"")"),"Regular")</f>
        <v>Regular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23" ht="15.75" customHeight="1">
      <c r="A60" s="42" t="s">
        <v>826</v>
      </c>
      <c r="B60" s="43" t="s">
        <v>827</v>
      </c>
      <c r="C60" s="42" t="str">
        <f ca="1">IFERROR(__xludf.DUMMYFUNCTION("IF(COUNTA(filter(B:B,B:B=B60))=1,""Regular"",""Conta Repetida"")"),"Regular")</f>
        <v>Regular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</row>
    <row r="61" spans="1:23" ht="15.75" customHeight="1">
      <c r="A61" s="42" t="s">
        <v>828</v>
      </c>
      <c r="B61" s="43" t="s">
        <v>829</v>
      </c>
      <c r="C61" s="42" t="str">
        <f ca="1">IFERROR(__xludf.DUMMYFUNCTION("IF(COUNTA(filter(B:B,B:B=B61))=1,""Regular"",""Conta Repetida"")"),"Regular")</f>
        <v>Regular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</row>
    <row r="62" spans="1:23" ht="15.75" customHeight="1">
      <c r="A62" s="42" t="s">
        <v>512</v>
      </c>
      <c r="B62" s="43" t="s">
        <v>830</v>
      </c>
      <c r="C62" s="42" t="str">
        <f ca="1">IFERROR(__xludf.DUMMYFUNCTION("IF(COUNTA(filter(B:B,B:B=B62))=1,""Regular"",""Conta Repetida"")"),"Regular")</f>
        <v>Regular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</row>
    <row r="63" spans="1:23" ht="15.75" customHeight="1">
      <c r="A63" s="42" t="s">
        <v>831</v>
      </c>
      <c r="B63" s="43" t="s">
        <v>832</v>
      </c>
      <c r="C63" s="42" t="str">
        <f ca="1">IFERROR(__xludf.DUMMYFUNCTION("IF(COUNTA(filter(B:B,B:B=B63))=1,""Regular"",""Conta Repetida"")"),"Regular")</f>
        <v>Regular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</row>
    <row r="64" spans="1:23" ht="15.75" customHeight="1">
      <c r="A64" s="42" t="s">
        <v>546</v>
      </c>
      <c r="B64" s="43" t="s">
        <v>833</v>
      </c>
      <c r="C64" s="42" t="str">
        <f ca="1">IFERROR(__xludf.DUMMYFUNCTION("IF(COUNTA(filter(B:B,B:B=B64))=1,""Regular"",""Conta Repetida"")"),"Regular")</f>
        <v>Regular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</row>
    <row r="65" spans="1:23" ht="15.75" customHeight="1">
      <c r="A65" s="42" t="s">
        <v>28</v>
      </c>
      <c r="B65" s="43" t="s">
        <v>323</v>
      </c>
      <c r="C65" s="42" t="str">
        <f ca="1">IFERROR(__xludf.DUMMYFUNCTION("IF(COUNTA(filter(B:B,B:B=B65))=1,""Regular"",""Conta Repetida"")"),"Regular")</f>
        <v>Regular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</row>
    <row r="66" spans="1:23" ht="15.75" customHeight="1">
      <c r="A66" s="42" t="s">
        <v>429</v>
      </c>
      <c r="B66" s="43" t="s">
        <v>834</v>
      </c>
      <c r="C66" s="42" t="str">
        <f ca="1">IFERROR(__xludf.DUMMYFUNCTION("IF(COUNTA(filter(B:B,B:B=B66))=1,""Regular"",""Conta Repetida"")"),"Regular")</f>
        <v>Regular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</row>
    <row r="67" spans="1:23" ht="15.75" customHeight="1">
      <c r="A67" s="42" t="s">
        <v>571</v>
      </c>
      <c r="B67" s="43" t="s">
        <v>835</v>
      </c>
      <c r="C67" s="42" t="str">
        <f ca="1">IFERROR(__xludf.DUMMYFUNCTION("IF(COUNTA(filter(B:B,B:B=B67))=1,""Regular"",""Conta Repetida"")"),"Regular")</f>
        <v>Regular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</row>
    <row r="68" spans="1:23" ht="15.75" customHeight="1">
      <c r="A68" s="42" t="s">
        <v>153</v>
      </c>
      <c r="B68" s="43" t="s">
        <v>836</v>
      </c>
      <c r="C68" s="42" t="str">
        <f ca="1">IFERROR(__xludf.DUMMYFUNCTION("IF(COUNTA(filter(B:B,B:B=B68))=1,""Regular"",""Conta Repetida"")"),"Regular")</f>
        <v>Regular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</row>
    <row r="69" spans="1:23" ht="15.75" customHeight="1">
      <c r="A69" s="42" t="s">
        <v>29</v>
      </c>
      <c r="B69" s="43" t="s">
        <v>837</v>
      </c>
      <c r="C69" s="42" t="str">
        <f ca="1">IFERROR(__xludf.DUMMYFUNCTION("IF(COUNTA(filter(B:B,B:B=B69))=1,""Regular"",""Conta Repetida"")"),"Regular")</f>
        <v>Regular</v>
      </c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</row>
    <row r="70" spans="1:23" ht="15.75" customHeight="1">
      <c r="A70" s="42" t="s">
        <v>10</v>
      </c>
      <c r="B70" s="43" t="s">
        <v>838</v>
      </c>
      <c r="C70" s="42" t="str">
        <f ca="1">IFERROR(__xludf.DUMMYFUNCTION("IF(COUNTA(filter(B:B,B:B=B70))=1,""Regular"",""Conta Repetida"")"),"Regular")</f>
        <v>Regular</v>
      </c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</row>
    <row r="71" spans="1:23" ht="15.75" customHeight="1">
      <c r="A71" s="42" t="s">
        <v>98</v>
      </c>
      <c r="B71" s="43" t="s">
        <v>839</v>
      </c>
      <c r="C71" s="42" t="str">
        <f ca="1">IFERROR(__xludf.DUMMYFUNCTION("IF(COUNTA(filter(B:B,B:B=B71))=1,""Regular"",""Conta Repetida"")"),"Regular")</f>
        <v>Regular</v>
      </c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</row>
    <row r="72" spans="1:23" ht="15.75" customHeight="1">
      <c r="A72" s="42" t="s">
        <v>104</v>
      </c>
      <c r="B72" s="43" t="s">
        <v>840</v>
      </c>
      <c r="C72" s="42" t="str">
        <f ca="1">IFERROR(__xludf.DUMMYFUNCTION("IF(COUNTA(filter(B:B,B:B=B72))=1,""Regular"",""Conta Repetida"")"),"Regular")</f>
        <v>Regular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</row>
    <row r="73" spans="1:23" ht="15.75" customHeight="1">
      <c r="A73" s="42" t="s">
        <v>841</v>
      </c>
      <c r="B73" s="43" t="s">
        <v>842</v>
      </c>
      <c r="C73" s="42" t="str">
        <f ca="1">IFERROR(__xludf.DUMMYFUNCTION("IF(COUNTA(filter(B:B,B:B=B73))=1,""Regular"",""Conta Repetida"")"),"Regular")</f>
        <v>Regular</v>
      </c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</row>
    <row r="74" spans="1:23" ht="15.75" customHeight="1">
      <c r="A74" s="42" t="s">
        <v>123</v>
      </c>
      <c r="B74" s="43" t="s">
        <v>843</v>
      </c>
      <c r="C74" s="42" t="str">
        <f ca="1">IFERROR(__xludf.DUMMYFUNCTION("IF(COUNTA(filter(B:B,B:B=B74))=1,""Regular"",""Conta Repetida"")"),"Regular")</f>
        <v>Regular</v>
      </c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</row>
    <row r="75" spans="1:23" ht="15.75" customHeight="1">
      <c r="A75" s="42" t="s">
        <v>131</v>
      </c>
      <c r="B75" s="43" t="s">
        <v>844</v>
      </c>
      <c r="C75" s="42" t="str">
        <f ca="1">IFERROR(__xludf.DUMMYFUNCTION("IF(COUNTA(filter(B:B,B:B=B75))=1,""Regular"",""Conta Repetida"")"),"Regular")</f>
        <v>Regular</v>
      </c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</row>
    <row r="76" spans="1:23" ht="15.75" customHeight="1">
      <c r="A76" s="42" t="s">
        <v>134</v>
      </c>
      <c r="B76" s="43" t="s">
        <v>845</v>
      </c>
      <c r="C76" s="42" t="str">
        <f ca="1">IFERROR(__xludf.DUMMYFUNCTION("IF(COUNTA(filter(B:B,B:B=B76))=1,""Regular"",""Conta Repetida"")"),"Regular")</f>
        <v>Regular</v>
      </c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</row>
    <row r="77" spans="1:23" ht="15.75" customHeight="1">
      <c r="A77" s="42" t="s">
        <v>846</v>
      </c>
      <c r="B77" s="43">
        <v>15678</v>
      </c>
      <c r="C77" s="42" t="str">
        <f ca="1">IFERROR(__xludf.DUMMYFUNCTION("IF(COUNTA(filter(B:B,B:B=B77))=1,""Regular"",""Conta Repetida"")"),"Regular")</f>
        <v>Regular</v>
      </c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</row>
    <row r="78" spans="1:23" ht="15.75" customHeight="1">
      <c r="A78" s="42" t="s">
        <v>96</v>
      </c>
      <c r="B78" s="43">
        <v>26542</v>
      </c>
      <c r="C78" s="42" t="str">
        <f ca="1">IFERROR(__xludf.DUMMYFUNCTION("IF(COUNTA(filter(B:B,B:B=B78))=1,""Regular"",""Conta Repetida"")"),"Regular")</f>
        <v>Regular</v>
      </c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</row>
    <row r="79" spans="1:23" ht="15.75" customHeight="1">
      <c r="A79" s="45" t="s">
        <v>847</v>
      </c>
      <c r="B79" s="43">
        <v>12345</v>
      </c>
      <c r="C79" s="42" t="str">
        <f ca="1">IFERROR(__xludf.DUMMYFUNCTION("IF(COUNTA(filter(B:B,B:B=B79))=1,""Regular"",""Conta Repetida"")"),"Regular")</f>
        <v>Regular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</row>
    <row r="80" spans="1:23" ht="15.75" customHeight="1">
      <c r="A80" s="45" t="s">
        <v>18</v>
      </c>
      <c r="B80" s="43">
        <v>12344</v>
      </c>
      <c r="C80" s="42" t="str">
        <f ca="1">IFERROR(__xludf.DUMMYFUNCTION("IF(COUNTA(filter(B:B,B:B=B80))=1,""Regular"",""Conta Repetida"")"),"Regular")</f>
        <v>Regular</v>
      </c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</row>
    <row r="81" spans="1:23" ht="15.75" customHeight="1">
      <c r="A81" s="42" t="s">
        <v>82</v>
      </c>
      <c r="B81" s="43">
        <v>12343</v>
      </c>
      <c r="C81" s="42" t="str">
        <f ca="1">IFERROR(__xludf.DUMMYFUNCTION("IF(COUNTA(filter(B:B,B:B=B81))=1,""Regular"",""Conta Repetida"")"),"Regular")</f>
        <v>Regular</v>
      </c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</row>
    <row r="82" spans="1:23" ht="15.75" customHeight="1">
      <c r="A82" s="42" t="s">
        <v>56</v>
      </c>
      <c r="B82" s="43">
        <v>12342</v>
      </c>
      <c r="C82" s="42" t="str">
        <f ca="1">IFERROR(__xludf.DUMMYFUNCTION("IF(COUNTA(filter(B:B,B:B=B82))=1,""Regular"",""Conta Repetida"")"),"Regular")</f>
        <v>Regular</v>
      </c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</row>
    <row r="83" spans="1:23" ht="15.75" customHeight="1">
      <c r="A83" s="16" t="s">
        <v>848</v>
      </c>
      <c r="B83" s="43">
        <v>12341</v>
      </c>
      <c r="C83" s="42" t="str">
        <f ca="1">IFERROR(__xludf.DUMMYFUNCTION("IF(COUNTA(filter(B:B,B:B=B83))=1,""Regular"",""Conta Repetida"")"),"Regular")</f>
        <v>Regular</v>
      </c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</row>
    <row r="84" spans="1:23" ht="15.75" customHeight="1">
      <c r="A84" s="16" t="s">
        <v>466</v>
      </c>
      <c r="B84" s="43">
        <v>12340</v>
      </c>
      <c r="C84" s="42" t="str">
        <f ca="1">IFERROR(__xludf.DUMMYFUNCTION("IF(COUNTA(filter(B:B,B:B=B84))=1,""Regular"",""Conta Repetida"")"),"Regular")</f>
        <v>Regular</v>
      </c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</row>
    <row r="85" spans="1:23" ht="15.75" customHeight="1">
      <c r="A85" s="16" t="s">
        <v>363</v>
      </c>
      <c r="B85" s="43">
        <v>12339</v>
      </c>
      <c r="C85" s="42" t="str">
        <f ca="1">IFERROR(__xludf.DUMMYFUNCTION("IF(COUNTA(filter(B:B,B:B=B85))=1,""Regular"",""Conta Repetida"")"),"Regular")</f>
        <v>Regular</v>
      </c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</row>
    <row r="86" spans="1:23" ht="15.75" customHeight="1">
      <c r="A86" s="16" t="s">
        <v>499</v>
      </c>
      <c r="B86" s="43">
        <v>12338</v>
      </c>
      <c r="C86" s="42" t="str">
        <f ca="1">IFERROR(__xludf.DUMMYFUNCTION("IF(COUNTA(filter(B:B,B:B=B86))=1,""Regular"",""Conta Repetida"")"),"Regular")</f>
        <v>Regular</v>
      </c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</row>
    <row r="87" spans="1:23" ht="15.75" customHeight="1">
      <c r="A87" s="16" t="s">
        <v>372</v>
      </c>
      <c r="B87" s="43">
        <v>12337</v>
      </c>
      <c r="C87" s="42" t="str">
        <f ca="1">IFERROR(__xludf.DUMMYFUNCTION("IF(COUNTA(filter(B:B,B:B=B87))=1,""Regular"",""Conta Repetida"")"),"Regular")</f>
        <v>Regular</v>
      </c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</row>
    <row r="88" spans="1:23" ht="15.75" customHeight="1">
      <c r="A88" s="16" t="s">
        <v>300</v>
      </c>
      <c r="B88" s="43">
        <v>12336</v>
      </c>
      <c r="C88" s="42" t="str">
        <f ca="1">IFERROR(__xludf.DUMMYFUNCTION("IF(COUNTA(filter(B:B,B:B=B88))=1,""Regular"",""Conta Repetida"")"),"Regular")</f>
        <v>Regular</v>
      </c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</row>
    <row r="89" spans="1:23" ht="15.75" customHeight="1">
      <c r="A89" s="16" t="s">
        <v>386</v>
      </c>
      <c r="B89" s="43">
        <v>12335</v>
      </c>
      <c r="C89" s="42" t="str">
        <f ca="1">IFERROR(__xludf.DUMMYFUNCTION("IF(COUNTA(filter(B:B,B:B=B89))=1,""Regular"",""Conta Repetida"")"),"Regular")</f>
        <v>Regular</v>
      </c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</row>
    <row r="90" spans="1:23" ht="15.75" customHeight="1">
      <c r="A90" s="16" t="s">
        <v>849</v>
      </c>
      <c r="B90" s="43">
        <v>12334</v>
      </c>
      <c r="C90" s="42" t="str">
        <f ca="1">IFERROR(__xludf.DUMMYFUNCTION("IF(COUNTA(filter(B:B,B:B=B90))=1,""Regular"",""Conta Repetida"")"),"Regular")</f>
        <v>Regular</v>
      </c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</row>
    <row r="91" spans="1:23" ht="15.75" customHeight="1">
      <c r="A91" s="45" t="s">
        <v>765</v>
      </c>
      <c r="B91" s="43">
        <v>12333</v>
      </c>
      <c r="C91" s="42" t="str">
        <f ca="1">IFERROR(__xludf.DUMMYFUNCTION("IF(COUNTA(filter(B:B,B:B=B91))=1,""Regular"",""Conta Repetida"")"),"Regular")</f>
        <v>Regular</v>
      </c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</row>
    <row r="92" spans="1:23" ht="15.75" customHeight="1">
      <c r="A92" s="45" t="s">
        <v>16</v>
      </c>
      <c r="B92" s="43">
        <v>12332</v>
      </c>
      <c r="C92" s="42" t="str">
        <f ca="1">IFERROR(__xludf.DUMMYFUNCTION("IF(COUNTA(filter(B:B,B:B=B92))=1,""Regular"",""Conta Repetida"")"),"Regular")</f>
        <v>Regular</v>
      </c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</row>
    <row r="93" spans="1:23" ht="15.75" customHeight="1">
      <c r="A93" s="45" t="s">
        <v>26</v>
      </c>
      <c r="B93" s="43">
        <v>12331</v>
      </c>
      <c r="C93" s="42" t="str">
        <f ca="1">IFERROR(__xludf.DUMMYFUNCTION("IF(COUNTA(filter(B:B,B:B=B93))=1,""Regular"",""Conta Repetida"")"),"Regular")</f>
        <v>Regular</v>
      </c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</row>
    <row r="94" spans="1:23" ht="15.75" customHeight="1">
      <c r="A94" s="45" t="s">
        <v>394</v>
      </c>
      <c r="B94" s="43">
        <v>12330</v>
      </c>
      <c r="C94" s="42" t="str">
        <f ca="1">IFERROR(__xludf.DUMMYFUNCTION("IF(COUNTA(filter(B:B,B:B=B94))=1,""Regular"",""Conta Repetida"")"),"Regular")</f>
        <v>Regular</v>
      </c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</row>
    <row r="95" spans="1:23" ht="15.75" customHeight="1">
      <c r="A95" s="45" t="s">
        <v>90</v>
      </c>
      <c r="B95" s="43">
        <v>12347</v>
      </c>
      <c r="C95" s="42" t="str">
        <f ca="1">IFERROR(__xludf.DUMMYFUNCTION("IF(COUNTA(filter(B:B,B:B=B95))=1,""Regular"",""Conta Repetida"")"),"Regular")</f>
        <v>Regular</v>
      </c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</row>
    <row r="96" spans="1:23" ht="15.75" customHeight="1">
      <c r="A96" s="45" t="s">
        <v>850</v>
      </c>
      <c r="B96" s="43">
        <v>12348</v>
      </c>
      <c r="C96" s="42" t="str">
        <f ca="1">IFERROR(__xludf.DUMMYFUNCTION("IF(COUNTA(filter(B:B,B:B=B96))=1,""Regular"",""Conta Repetida"")"),"Regular")</f>
        <v>Regular</v>
      </c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</row>
    <row r="97" spans="1:23" ht="15.75" customHeight="1">
      <c r="A97" s="45" t="s">
        <v>851</v>
      </c>
      <c r="B97" s="43">
        <v>12349</v>
      </c>
      <c r="C97" s="42" t="str">
        <f ca="1">IFERROR(__xludf.DUMMYFUNCTION("IF(COUNTA(filter(B:B,B:B=B97))=1,""Regular"",""Conta Repetida"")"),"Regular")</f>
        <v>Regular</v>
      </c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</row>
    <row r="98" spans="1:23" ht="15.75" customHeight="1">
      <c r="A98" s="45" t="s">
        <v>75</v>
      </c>
      <c r="B98" s="43">
        <v>12350</v>
      </c>
      <c r="C98" s="42" t="str">
        <f ca="1">IFERROR(__xludf.DUMMYFUNCTION("IF(COUNTA(filter(B:B,B:B=B98))=1,""Regular"",""Conta Repetida"")"),"Regular")</f>
        <v>Regular</v>
      </c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</row>
    <row r="99" spans="1:23" ht="15.75" customHeight="1">
      <c r="A99" s="45" t="s">
        <v>338</v>
      </c>
      <c r="B99" s="43">
        <v>12351</v>
      </c>
      <c r="C99" s="42" t="str">
        <f ca="1">IFERROR(__xludf.DUMMYFUNCTION("IF(COUNTA(filter(B:B,B:B=B99))=1,""Regular"",""Conta Repetida"")"),"Regular")</f>
        <v>Regular</v>
      </c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</row>
    <row r="100" spans="1:23" ht="15.75" customHeight="1">
      <c r="A100" s="45" t="s">
        <v>374</v>
      </c>
      <c r="B100" s="43">
        <v>12352</v>
      </c>
      <c r="C100" s="42" t="str">
        <f ca="1">IFERROR(__xludf.DUMMYFUNCTION("IF(COUNTA(filter(B:B,B:B=B100))=1,""Regular"",""Conta Repetida"")"),"Regular")</f>
        <v>Regular</v>
      </c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</row>
    <row r="101" spans="1:23" ht="15.75" customHeight="1">
      <c r="A101" s="45" t="s">
        <v>573</v>
      </c>
      <c r="B101" s="43">
        <v>12353</v>
      </c>
      <c r="C101" s="42" t="str">
        <f ca="1">IFERROR(__xludf.DUMMYFUNCTION("IF(COUNTA(filter(B:B,B:B=B101))=1,""Regular"",""Conta Repetida"")"),"Regular")</f>
        <v>Regular</v>
      </c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</row>
    <row r="102" spans="1:23" ht="15.75" customHeight="1">
      <c r="A102" s="43" t="s">
        <v>852</v>
      </c>
      <c r="B102" s="43">
        <v>12354</v>
      </c>
      <c r="C102" s="42" t="str">
        <f ca="1">IFERROR(__xludf.DUMMYFUNCTION("IF(COUNTA(filter(B:B,B:B=B102))=1,""Regular"",""Conta Repetida"")"),"Regular")</f>
        <v>Regular</v>
      </c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</row>
    <row r="103" spans="1:23" ht="15.75" customHeight="1">
      <c r="A103" s="45" t="s">
        <v>241</v>
      </c>
      <c r="B103" s="43">
        <v>12355</v>
      </c>
      <c r="C103" s="42" t="str">
        <f ca="1">IFERROR(__xludf.DUMMYFUNCTION("IF(COUNTA(filter(B:B,B:B=B103))=1,""Regular"",""Conta Repetida"")"),"Regular")</f>
        <v>Regular</v>
      </c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</row>
    <row r="104" spans="1:23" ht="15.75" customHeight="1">
      <c r="A104" s="46" t="s">
        <v>319</v>
      </c>
      <c r="B104" s="47">
        <v>12356</v>
      </c>
      <c r="C104" s="44" t="s">
        <v>853</v>
      </c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</row>
    <row r="105" spans="1:23" ht="15.75" customHeight="1">
      <c r="A105" s="48" t="s">
        <v>446</v>
      </c>
      <c r="B105" s="47">
        <v>12357</v>
      </c>
      <c r="C105" s="44" t="s">
        <v>853</v>
      </c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</row>
    <row r="106" spans="1:23" ht="15.75" customHeight="1">
      <c r="A106" s="48" t="s">
        <v>453</v>
      </c>
      <c r="B106" s="47">
        <v>12358</v>
      </c>
      <c r="C106" s="44" t="s">
        <v>853</v>
      </c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</row>
    <row r="107" spans="1:23" ht="15.75" customHeight="1">
      <c r="A107" s="46" t="s">
        <v>36</v>
      </c>
      <c r="B107" s="47">
        <v>12359</v>
      </c>
      <c r="C107" s="44" t="s">
        <v>853</v>
      </c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</row>
    <row r="108" spans="1:23" ht="15.75" customHeight="1">
      <c r="A108" s="46" t="s">
        <v>495</v>
      </c>
      <c r="B108" s="47">
        <v>12360</v>
      </c>
      <c r="C108" s="44" t="s">
        <v>853</v>
      </c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</row>
    <row r="109" spans="1:23" ht="15.75" customHeight="1">
      <c r="A109" s="48" t="s">
        <v>854</v>
      </c>
      <c r="B109" s="47">
        <v>12361</v>
      </c>
      <c r="C109" s="44" t="s">
        <v>853</v>
      </c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</row>
    <row r="110" spans="1:23" ht="15.75" customHeight="1">
      <c r="A110" s="49" t="s">
        <v>45</v>
      </c>
      <c r="B110" s="47">
        <v>12362</v>
      </c>
      <c r="C110" s="44" t="s">
        <v>853</v>
      </c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</row>
    <row r="111" spans="1:23" ht="15.75" customHeight="1">
      <c r="A111" s="50" t="s">
        <v>271</v>
      </c>
      <c r="B111" s="47">
        <v>12363</v>
      </c>
      <c r="C111" s="44" t="s">
        <v>853</v>
      </c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</row>
    <row r="112" spans="1:23" ht="15.75" customHeight="1">
      <c r="A112" s="44"/>
      <c r="B112" s="47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</row>
    <row r="113" spans="1:23" ht="15.75" customHeight="1">
      <c r="A113" s="44"/>
      <c r="B113" s="47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</row>
    <row r="114" spans="1:23" ht="15.75" customHeight="1">
      <c r="A114" s="44"/>
      <c r="B114" s="47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</row>
    <row r="115" spans="1:23" ht="15.75" customHeight="1">
      <c r="A115" s="44"/>
      <c r="B115" s="47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</row>
    <row r="116" spans="1:23" ht="15.75" customHeight="1">
      <c r="A116" s="44"/>
      <c r="B116" s="47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</row>
    <row r="117" spans="1:23" ht="15.75" customHeight="1">
      <c r="A117" s="44"/>
      <c r="B117" s="47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</row>
    <row r="118" spans="1:23" ht="15.75" customHeight="1">
      <c r="A118" s="44"/>
      <c r="B118" s="47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</row>
    <row r="119" spans="1:23" ht="15.75" customHeight="1">
      <c r="A119" s="44"/>
      <c r="B119" s="47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</row>
    <row r="120" spans="1:23" ht="15.75" customHeight="1">
      <c r="A120" s="44"/>
      <c r="B120" s="47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</row>
    <row r="121" spans="1:23" ht="15.75" customHeight="1">
      <c r="A121" s="44"/>
      <c r="B121" s="47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</row>
    <row r="122" spans="1:23" ht="15.75" customHeight="1">
      <c r="A122" s="44"/>
      <c r="B122" s="47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</row>
    <row r="123" spans="1:23" ht="15.75" customHeight="1">
      <c r="A123" s="44"/>
      <c r="B123" s="47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</row>
    <row r="124" spans="1:23" ht="15.75" customHeight="1">
      <c r="A124" s="44"/>
      <c r="B124" s="47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</row>
    <row r="125" spans="1:23" ht="15.75" customHeight="1">
      <c r="A125" s="44"/>
      <c r="B125" s="47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</row>
    <row r="126" spans="1:23" ht="15.75" customHeight="1">
      <c r="A126" s="44"/>
      <c r="B126" s="47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</row>
    <row r="127" spans="1:23" ht="15.75" customHeight="1">
      <c r="A127" s="44"/>
      <c r="B127" s="47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</row>
    <row r="128" spans="1:23" ht="15.75" customHeight="1">
      <c r="A128" s="44"/>
      <c r="B128" s="47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</row>
    <row r="129" spans="1:23" ht="15.75" customHeight="1">
      <c r="A129" s="44"/>
      <c r="B129" s="47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</row>
    <row r="130" spans="1:23" ht="15.75" customHeight="1">
      <c r="A130" s="44"/>
      <c r="B130" s="47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</row>
    <row r="131" spans="1:23" ht="15.75" customHeight="1">
      <c r="A131" s="44"/>
      <c r="B131" s="47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</row>
    <row r="132" spans="1:23" ht="15.75" customHeight="1">
      <c r="A132" s="44"/>
      <c r="B132" s="47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</row>
    <row r="133" spans="1:23" ht="15.75" customHeight="1">
      <c r="A133" s="44"/>
      <c r="B133" s="47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</row>
    <row r="134" spans="1:23" ht="15.75" customHeight="1">
      <c r="A134" s="44"/>
      <c r="B134" s="47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</row>
    <row r="135" spans="1:23" ht="15.75" customHeight="1">
      <c r="A135" s="44"/>
      <c r="B135" s="47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</row>
    <row r="136" spans="1:23" ht="15.75" customHeight="1">
      <c r="A136" s="44"/>
      <c r="B136" s="47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</row>
    <row r="137" spans="1:23" ht="15.75" customHeight="1">
      <c r="A137" s="44"/>
      <c r="B137" s="47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</row>
    <row r="138" spans="1:23" ht="15.75" customHeight="1">
      <c r="A138" s="44"/>
      <c r="B138" s="47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</row>
    <row r="139" spans="1:23" ht="15.75" customHeight="1">
      <c r="A139" s="44"/>
      <c r="B139" s="47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</row>
    <row r="140" spans="1:23" ht="15.75" customHeight="1">
      <c r="A140" s="44"/>
      <c r="B140" s="47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</row>
    <row r="141" spans="1:23" ht="15.75" customHeight="1">
      <c r="A141" s="44"/>
      <c r="B141" s="47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</row>
    <row r="142" spans="1:23" ht="15.75" customHeight="1">
      <c r="A142" s="44"/>
      <c r="B142" s="47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</row>
    <row r="143" spans="1:23" ht="15.75" customHeight="1">
      <c r="A143" s="44"/>
      <c r="B143" s="47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</row>
    <row r="144" spans="1:23" ht="15.75" customHeight="1">
      <c r="A144" s="44"/>
      <c r="B144" s="47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</row>
    <row r="145" spans="1:23" ht="15.75" customHeight="1">
      <c r="A145" s="44"/>
      <c r="B145" s="47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</row>
    <row r="146" spans="1:23" ht="15.75" customHeight="1">
      <c r="A146" s="44"/>
      <c r="B146" s="47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</row>
    <row r="147" spans="1:23" ht="15.75" customHeight="1">
      <c r="A147" s="44"/>
      <c r="B147" s="47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</row>
    <row r="148" spans="1:23" ht="15.75" customHeight="1">
      <c r="A148" s="44"/>
      <c r="B148" s="47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</row>
    <row r="149" spans="1:23" ht="15.75" customHeight="1">
      <c r="A149" s="44"/>
      <c r="B149" s="47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</row>
    <row r="150" spans="1:23" ht="15.75" customHeight="1">
      <c r="A150" s="44"/>
      <c r="B150" s="47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</row>
    <row r="151" spans="1:23" ht="15.75" customHeight="1">
      <c r="A151" s="44"/>
      <c r="B151" s="47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</row>
    <row r="152" spans="1:23" ht="15.75" customHeight="1">
      <c r="A152" s="44"/>
      <c r="B152" s="47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</row>
    <row r="153" spans="1:23" ht="15.75" customHeight="1">
      <c r="A153" s="44"/>
      <c r="B153" s="47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</row>
    <row r="154" spans="1:23" ht="15.75" customHeight="1">
      <c r="A154" s="44"/>
      <c r="B154" s="47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</row>
    <row r="155" spans="1:23" ht="15.75" customHeight="1">
      <c r="A155" s="44"/>
      <c r="B155" s="47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</row>
    <row r="156" spans="1:23" ht="15.75" customHeight="1">
      <c r="A156" s="44"/>
      <c r="B156" s="47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</row>
    <row r="157" spans="1:23" ht="15.75" customHeight="1">
      <c r="A157" s="44"/>
      <c r="B157" s="47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</row>
    <row r="158" spans="1:23" ht="15.75" customHeight="1">
      <c r="A158" s="44"/>
      <c r="B158" s="47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</row>
    <row r="159" spans="1:23" ht="15.75" customHeight="1">
      <c r="A159" s="44"/>
      <c r="B159" s="47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</row>
    <row r="160" spans="1:23" ht="15.75" customHeight="1">
      <c r="A160" s="44"/>
      <c r="B160" s="47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</row>
    <row r="161" spans="1:23" ht="15.75" customHeight="1">
      <c r="A161" s="44"/>
      <c r="B161" s="47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</row>
    <row r="162" spans="1:23" ht="15.75" customHeight="1">
      <c r="A162" s="44"/>
      <c r="B162" s="47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</row>
    <row r="163" spans="1:23" ht="15.75" customHeight="1">
      <c r="A163" s="44"/>
      <c r="B163" s="47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</row>
    <row r="164" spans="1:23" ht="15.75" customHeight="1">
      <c r="A164" s="44"/>
      <c r="B164" s="47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</row>
    <row r="165" spans="1:23" ht="15.75" customHeight="1">
      <c r="A165" s="44"/>
      <c r="B165" s="47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</row>
    <row r="166" spans="1:23" ht="15.75" customHeight="1">
      <c r="A166" s="44"/>
      <c r="B166" s="47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</row>
    <row r="167" spans="1:23" ht="15.75" customHeight="1">
      <c r="A167" s="44"/>
      <c r="B167" s="47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</row>
    <row r="168" spans="1:23" ht="15.75" customHeight="1">
      <c r="A168" s="44"/>
      <c r="B168" s="47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</row>
    <row r="169" spans="1:23" ht="15.75" customHeight="1">
      <c r="A169" s="44"/>
      <c r="B169" s="47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</row>
    <row r="170" spans="1:23" ht="15.75" customHeight="1">
      <c r="A170" s="44"/>
      <c r="B170" s="47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</row>
    <row r="171" spans="1:23" ht="15.75" customHeight="1">
      <c r="A171" s="44"/>
      <c r="B171" s="47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</row>
    <row r="172" spans="1:23" ht="15.75" customHeight="1">
      <c r="A172" s="44"/>
      <c r="B172" s="47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</row>
    <row r="173" spans="1:23" ht="15.75" customHeight="1">
      <c r="A173" s="44"/>
      <c r="B173" s="47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</row>
    <row r="174" spans="1:23" ht="15.75" customHeight="1">
      <c r="A174" s="44"/>
      <c r="B174" s="47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</row>
    <row r="175" spans="1:23" ht="15.75" customHeight="1">
      <c r="A175" s="44"/>
      <c r="B175" s="47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</row>
    <row r="176" spans="1:23" ht="15.75" customHeight="1">
      <c r="A176" s="44"/>
      <c r="B176" s="47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</row>
    <row r="177" spans="1:23" ht="15.75" customHeight="1">
      <c r="A177" s="44"/>
      <c r="B177" s="47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</row>
    <row r="178" spans="1:23" ht="15.75" customHeight="1">
      <c r="A178" s="44"/>
      <c r="B178" s="47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</row>
    <row r="179" spans="1:23" ht="15.75" customHeight="1">
      <c r="A179" s="44"/>
      <c r="B179" s="47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</row>
    <row r="180" spans="1:23" ht="15.75" customHeight="1">
      <c r="A180" s="44"/>
      <c r="B180" s="47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</row>
    <row r="181" spans="1:23" ht="15.75" customHeight="1">
      <c r="A181" s="44"/>
      <c r="B181" s="47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</row>
    <row r="182" spans="1:23" ht="15.75" customHeight="1">
      <c r="A182" s="44"/>
      <c r="B182" s="47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</row>
    <row r="183" spans="1:23" ht="15.75" customHeight="1">
      <c r="A183" s="44"/>
      <c r="B183" s="47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</row>
    <row r="184" spans="1:23" ht="15.75" customHeight="1">
      <c r="A184" s="44"/>
      <c r="B184" s="47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</row>
    <row r="185" spans="1:23" ht="15.75" customHeight="1">
      <c r="A185" s="44"/>
      <c r="B185" s="47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</row>
    <row r="186" spans="1:23" ht="15.75" customHeight="1">
      <c r="A186" s="44"/>
      <c r="B186" s="47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</row>
    <row r="187" spans="1:23" ht="15.75" customHeight="1">
      <c r="A187" s="44"/>
      <c r="B187" s="47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</row>
    <row r="188" spans="1:23" ht="15.75" customHeight="1">
      <c r="A188" s="44"/>
      <c r="B188" s="47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</row>
    <row r="189" spans="1:23" ht="15.75" customHeight="1">
      <c r="A189" s="44"/>
      <c r="B189" s="47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</row>
    <row r="190" spans="1:23" ht="15.75" customHeight="1">
      <c r="A190" s="44"/>
      <c r="B190" s="47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</row>
    <row r="191" spans="1:23" ht="15.75" customHeight="1">
      <c r="A191" s="44"/>
      <c r="B191" s="47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</row>
    <row r="192" spans="1:23" ht="15.75" customHeight="1">
      <c r="A192" s="44"/>
      <c r="B192" s="47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</row>
    <row r="193" spans="1:23" ht="15.75" customHeight="1">
      <c r="A193" s="44"/>
      <c r="B193" s="47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</row>
    <row r="194" spans="1:23" ht="15.75" customHeight="1">
      <c r="A194" s="44"/>
      <c r="B194" s="47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</row>
    <row r="195" spans="1:23" ht="15.75" customHeight="1">
      <c r="A195" s="44"/>
      <c r="B195" s="47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</row>
    <row r="196" spans="1:23" ht="15.75" customHeight="1">
      <c r="A196" s="44"/>
      <c r="B196" s="47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</row>
    <row r="197" spans="1:23" ht="15.75" customHeight="1">
      <c r="A197" s="44"/>
      <c r="B197" s="47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</row>
    <row r="198" spans="1:23" ht="15.75" customHeight="1">
      <c r="A198" s="44"/>
      <c r="B198" s="47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</row>
    <row r="199" spans="1:23" ht="15.75" customHeight="1">
      <c r="A199" s="44"/>
      <c r="B199" s="47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</row>
    <row r="200" spans="1:23" ht="15.75" customHeight="1">
      <c r="A200" s="44"/>
      <c r="B200" s="47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customWidth="1"/>
    <col min="3" max="3" width="11.140625" customWidth="1"/>
    <col min="4" max="4" width="16.4257812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</cols>
  <sheetData>
    <row r="1" spans="1:31" ht="15.75" customHeight="1">
      <c r="A1" s="51" t="s">
        <v>855</v>
      </c>
      <c r="B1" s="52" t="s">
        <v>1</v>
      </c>
      <c r="C1" s="51" t="s">
        <v>0</v>
      </c>
      <c r="D1" s="51" t="s">
        <v>856</v>
      </c>
      <c r="E1" s="53" t="s">
        <v>572</v>
      </c>
      <c r="F1" s="51" t="s">
        <v>576</v>
      </c>
      <c r="G1" s="51" t="s">
        <v>2</v>
      </c>
      <c r="H1" s="51" t="s">
        <v>3</v>
      </c>
      <c r="I1" s="51" t="s">
        <v>4</v>
      </c>
      <c r="J1" s="54" t="s">
        <v>21</v>
      </c>
      <c r="K1" s="51" t="s">
        <v>6</v>
      </c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1:31" ht="15.75" customHeight="1">
      <c r="A2" s="56">
        <v>43768</v>
      </c>
      <c r="B2" s="57" t="s">
        <v>857</v>
      </c>
      <c r="C2" s="46" t="s">
        <v>150</v>
      </c>
      <c r="D2" s="46" t="s">
        <v>237</v>
      </c>
      <c r="E2" s="58">
        <v>0</v>
      </c>
      <c r="F2" s="46" t="s">
        <v>168</v>
      </c>
      <c r="G2" s="56" t="s">
        <v>107</v>
      </c>
      <c r="H2" s="56" t="s">
        <v>12</v>
      </c>
      <c r="I2" s="56" t="s">
        <v>108</v>
      </c>
      <c r="J2" s="56">
        <v>43567</v>
      </c>
      <c r="K2" s="59" t="s">
        <v>304</v>
      </c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1:31" ht="15.75" customHeight="1">
      <c r="A3" s="56">
        <v>43782</v>
      </c>
      <c r="B3" s="57" t="s">
        <v>858</v>
      </c>
      <c r="C3" s="46" t="s">
        <v>150</v>
      </c>
      <c r="D3" s="46" t="s">
        <v>237</v>
      </c>
      <c r="E3" s="58">
        <v>0</v>
      </c>
      <c r="F3" s="46" t="s">
        <v>230</v>
      </c>
      <c r="G3" s="56" t="s">
        <v>107</v>
      </c>
      <c r="H3" s="56" t="s">
        <v>12</v>
      </c>
      <c r="I3" s="56" t="s">
        <v>153</v>
      </c>
      <c r="J3" s="56">
        <v>43567</v>
      </c>
      <c r="K3" s="59" t="s">
        <v>382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</row>
    <row r="4" spans="1:31" ht="15.75" customHeight="1">
      <c r="A4" s="56">
        <v>43862</v>
      </c>
      <c r="B4" s="57" t="s">
        <v>859</v>
      </c>
      <c r="C4" s="46" t="s">
        <v>150</v>
      </c>
      <c r="D4" s="46" t="s">
        <v>237</v>
      </c>
      <c r="E4" s="58">
        <v>0</v>
      </c>
      <c r="F4" s="46" t="s">
        <v>285</v>
      </c>
      <c r="G4" s="56" t="s">
        <v>11</v>
      </c>
      <c r="H4" s="56" t="s">
        <v>12</v>
      </c>
      <c r="I4" s="56" t="s">
        <v>125</v>
      </c>
      <c r="J4" s="56">
        <v>43461</v>
      </c>
      <c r="K4" s="59" t="s">
        <v>382</v>
      </c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</row>
    <row r="5" spans="1:31" ht="15.75" customHeight="1">
      <c r="A5" s="60">
        <v>43893</v>
      </c>
      <c r="B5" s="61" t="s">
        <v>860</v>
      </c>
      <c r="C5" s="62" t="s">
        <v>150</v>
      </c>
      <c r="D5" s="46" t="s">
        <v>861</v>
      </c>
      <c r="E5" s="58">
        <v>25000</v>
      </c>
      <c r="F5" s="46" t="s">
        <v>270</v>
      </c>
      <c r="G5" s="56" t="s">
        <v>107</v>
      </c>
      <c r="H5" s="56" t="s">
        <v>12</v>
      </c>
      <c r="I5" s="56" t="s">
        <v>108</v>
      </c>
      <c r="J5" s="56">
        <v>43675</v>
      </c>
      <c r="K5" s="59" t="s">
        <v>382</v>
      </c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</row>
    <row r="6" spans="1:31" ht="15.75" customHeight="1">
      <c r="A6" s="60">
        <v>43893</v>
      </c>
      <c r="B6" s="61" t="s">
        <v>862</v>
      </c>
      <c r="C6" s="62" t="s">
        <v>150</v>
      </c>
      <c r="D6" s="46" t="s">
        <v>861</v>
      </c>
      <c r="E6" s="58">
        <v>6000</v>
      </c>
      <c r="F6" s="46" t="s">
        <v>83</v>
      </c>
      <c r="G6" s="56" t="s">
        <v>107</v>
      </c>
      <c r="H6" s="56" t="s">
        <v>12</v>
      </c>
      <c r="I6" s="56" t="s">
        <v>153</v>
      </c>
      <c r="J6" s="56">
        <v>43620</v>
      </c>
      <c r="K6" s="59" t="s">
        <v>298</v>
      </c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</row>
    <row r="7" spans="1:31" ht="15.75" customHeight="1">
      <c r="A7" s="60">
        <v>43894</v>
      </c>
      <c r="B7" s="61" t="s">
        <v>863</v>
      </c>
      <c r="C7" s="62" t="s">
        <v>14</v>
      </c>
      <c r="D7" s="46" t="s">
        <v>861</v>
      </c>
      <c r="E7" s="58">
        <v>50000</v>
      </c>
      <c r="F7" s="46" t="s">
        <v>514</v>
      </c>
      <c r="G7" s="46" t="s">
        <v>107</v>
      </c>
      <c r="H7" s="46" t="s">
        <v>12</v>
      </c>
      <c r="I7" s="46" t="s">
        <v>107</v>
      </c>
      <c r="J7" s="56">
        <v>43749</v>
      </c>
      <c r="K7" s="63" t="s">
        <v>382</v>
      </c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</row>
    <row r="8" spans="1:31" ht="15.75" customHeight="1">
      <c r="A8" s="60">
        <v>43894</v>
      </c>
      <c r="B8" s="61" t="s">
        <v>860</v>
      </c>
      <c r="C8" s="62" t="s">
        <v>150</v>
      </c>
      <c r="D8" s="46" t="s">
        <v>861</v>
      </c>
      <c r="E8" s="58">
        <v>9500</v>
      </c>
      <c r="F8" s="46" t="s">
        <v>270</v>
      </c>
      <c r="G8" s="56" t="s">
        <v>107</v>
      </c>
      <c r="H8" s="56" t="s">
        <v>12</v>
      </c>
      <c r="I8" s="56" t="s">
        <v>108</v>
      </c>
      <c r="J8" s="56">
        <v>43675</v>
      </c>
      <c r="K8" s="59" t="s">
        <v>382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</row>
    <row r="9" spans="1:31" ht="15.75" customHeight="1">
      <c r="A9" s="60">
        <v>43894</v>
      </c>
      <c r="B9" s="61" t="s">
        <v>864</v>
      </c>
      <c r="C9" s="62" t="s">
        <v>150</v>
      </c>
      <c r="D9" s="46" t="s">
        <v>861</v>
      </c>
      <c r="E9" s="58">
        <v>5000</v>
      </c>
      <c r="F9" s="46" t="s">
        <v>263</v>
      </c>
      <c r="G9" s="56" t="s">
        <v>107</v>
      </c>
      <c r="H9" s="56" t="s">
        <v>12</v>
      </c>
      <c r="I9" s="56" t="s">
        <v>108</v>
      </c>
      <c r="J9" s="56">
        <v>43700</v>
      </c>
      <c r="K9" s="59" t="s">
        <v>382</v>
      </c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</row>
    <row r="10" spans="1:31" ht="15.75" customHeight="1">
      <c r="A10" s="60">
        <v>43894</v>
      </c>
      <c r="B10" s="61" t="s">
        <v>865</v>
      </c>
      <c r="C10" s="62" t="s">
        <v>150</v>
      </c>
      <c r="D10" s="46" t="s">
        <v>861</v>
      </c>
      <c r="E10" s="58">
        <v>3700</v>
      </c>
      <c r="F10" s="46" t="s">
        <v>213</v>
      </c>
      <c r="G10" s="56" t="s">
        <v>11</v>
      </c>
      <c r="H10" s="56" t="s">
        <v>12</v>
      </c>
      <c r="I10" s="56" t="s">
        <v>125</v>
      </c>
      <c r="J10" s="56">
        <v>43510</v>
      </c>
      <c r="K10" s="59" t="s">
        <v>866</v>
      </c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</row>
    <row r="11" spans="1:31" ht="15.75" customHeight="1">
      <c r="A11" s="60">
        <v>43895</v>
      </c>
      <c r="B11" s="61" t="s">
        <v>867</v>
      </c>
      <c r="C11" s="62" t="s">
        <v>150</v>
      </c>
      <c r="D11" s="46" t="s">
        <v>861</v>
      </c>
      <c r="E11" s="58">
        <v>14000</v>
      </c>
      <c r="F11" s="46" t="s">
        <v>206</v>
      </c>
      <c r="G11" s="56" t="s">
        <v>107</v>
      </c>
      <c r="H11" s="56" t="s">
        <v>12</v>
      </c>
      <c r="I11" s="56" t="s">
        <v>108</v>
      </c>
      <c r="J11" s="56">
        <v>43703</v>
      </c>
      <c r="K11" s="59" t="s">
        <v>382</v>
      </c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</row>
    <row r="12" spans="1:31" ht="15.75" customHeight="1">
      <c r="A12" s="60">
        <v>43902</v>
      </c>
      <c r="B12" s="61" t="s">
        <v>868</v>
      </c>
      <c r="C12" s="62" t="s">
        <v>150</v>
      </c>
      <c r="D12" s="46" t="s">
        <v>861</v>
      </c>
      <c r="E12" s="58">
        <v>10000</v>
      </c>
      <c r="F12" s="46" t="s">
        <v>292</v>
      </c>
      <c r="G12" s="56" t="s">
        <v>107</v>
      </c>
      <c r="H12" s="56" t="s">
        <v>12</v>
      </c>
      <c r="I12" s="56" t="s">
        <v>108</v>
      </c>
      <c r="J12" s="56">
        <v>43567</v>
      </c>
      <c r="K12" s="59" t="s">
        <v>298</v>
      </c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</row>
    <row r="13" spans="1:31" ht="15.75" customHeight="1">
      <c r="A13" s="60">
        <v>43906</v>
      </c>
      <c r="B13" s="61" t="s">
        <v>869</v>
      </c>
      <c r="C13" s="62" t="s">
        <v>150</v>
      </c>
      <c r="D13" s="46" t="s">
        <v>861</v>
      </c>
      <c r="E13" s="58">
        <v>193205.23</v>
      </c>
      <c r="F13" s="46" t="s">
        <v>101</v>
      </c>
      <c r="G13" s="56" t="s">
        <v>107</v>
      </c>
      <c r="H13" s="56" t="s">
        <v>12</v>
      </c>
      <c r="I13" s="56" t="s">
        <v>108</v>
      </c>
      <c r="J13" s="56">
        <v>43605</v>
      </c>
      <c r="K13" s="59" t="s">
        <v>302</v>
      </c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</row>
    <row r="14" spans="1:31" ht="15.75" customHeight="1">
      <c r="A14" s="60">
        <v>43906</v>
      </c>
      <c r="B14" s="64" t="s">
        <v>870</v>
      </c>
      <c r="C14" s="62" t="s">
        <v>14</v>
      </c>
      <c r="D14" s="46" t="s">
        <v>861</v>
      </c>
      <c r="E14" s="58">
        <v>10000</v>
      </c>
      <c r="F14" s="46" t="s">
        <v>533</v>
      </c>
      <c r="G14" s="46" t="s">
        <v>107</v>
      </c>
      <c r="H14" s="46" t="s">
        <v>12</v>
      </c>
      <c r="I14" s="46" t="s">
        <v>107</v>
      </c>
      <c r="J14" s="56">
        <v>43924</v>
      </c>
      <c r="K14" s="63" t="s">
        <v>298</v>
      </c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</row>
    <row r="15" spans="1:31" ht="15.75" customHeight="1">
      <c r="A15" s="60">
        <v>43907</v>
      </c>
      <c r="B15" s="61" t="s">
        <v>871</v>
      </c>
      <c r="C15" s="62" t="s">
        <v>150</v>
      </c>
      <c r="D15" s="46" t="s">
        <v>861</v>
      </c>
      <c r="E15" s="58">
        <v>25000</v>
      </c>
      <c r="F15" s="46" t="s">
        <v>180</v>
      </c>
      <c r="G15" s="56" t="s">
        <v>107</v>
      </c>
      <c r="H15" s="56" t="s">
        <v>12</v>
      </c>
      <c r="I15" s="56" t="s">
        <v>108</v>
      </c>
      <c r="J15" s="56">
        <v>43822</v>
      </c>
      <c r="K15" s="59" t="s">
        <v>302</v>
      </c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</row>
    <row r="16" spans="1:31" ht="15.75" customHeight="1">
      <c r="A16" s="60">
        <v>43907</v>
      </c>
      <c r="B16" s="61" t="s">
        <v>867</v>
      </c>
      <c r="C16" s="62" t="s">
        <v>150</v>
      </c>
      <c r="D16" s="46" t="s">
        <v>861</v>
      </c>
      <c r="E16" s="58">
        <v>7000</v>
      </c>
      <c r="F16" s="46" t="s">
        <v>206</v>
      </c>
      <c r="G16" s="56" t="s">
        <v>107</v>
      </c>
      <c r="H16" s="56" t="s">
        <v>12</v>
      </c>
      <c r="I16" s="56" t="s">
        <v>108</v>
      </c>
      <c r="J16" s="56">
        <v>43703</v>
      </c>
      <c r="K16" s="59" t="s">
        <v>382</v>
      </c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</row>
    <row r="17" spans="1:31" ht="15.75" customHeight="1">
      <c r="A17" s="60">
        <v>43907</v>
      </c>
      <c r="B17" s="61" t="s">
        <v>872</v>
      </c>
      <c r="C17" s="62" t="s">
        <v>14</v>
      </c>
      <c r="D17" s="46" t="s">
        <v>861</v>
      </c>
      <c r="E17" s="58">
        <v>95799.8</v>
      </c>
      <c r="F17" s="46" t="s">
        <v>457</v>
      </c>
      <c r="G17" s="46" t="s">
        <v>107</v>
      </c>
      <c r="H17" s="46" t="s">
        <v>12</v>
      </c>
      <c r="I17" s="46" t="s">
        <v>107</v>
      </c>
      <c r="J17" s="56">
        <v>44252</v>
      </c>
      <c r="K17" s="63" t="s">
        <v>302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</row>
    <row r="18" spans="1:31" ht="15.75" customHeight="1">
      <c r="A18" s="56">
        <v>43910</v>
      </c>
      <c r="B18" s="57" t="s">
        <v>873</v>
      </c>
      <c r="C18" s="46" t="s">
        <v>150</v>
      </c>
      <c r="D18" s="46" t="s">
        <v>237</v>
      </c>
      <c r="E18" s="58">
        <v>0</v>
      </c>
      <c r="F18" s="46" t="s">
        <v>192</v>
      </c>
      <c r="G18" s="56" t="s">
        <v>107</v>
      </c>
      <c r="H18" s="56" t="s">
        <v>12</v>
      </c>
      <c r="I18" s="56" t="s">
        <v>153</v>
      </c>
      <c r="J18" s="56">
        <v>43699</v>
      </c>
      <c r="K18" s="59" t="s">
        <v>382</v>
      </c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</row>
    <row r="19" spans="1:31" ht="15.75" customHeight="1">
      <c r="A19" s="60">
        <v>43915</v>
      </c>
      <c r="B19" s="61" t="s">
        <v>869</v>
      </c>
      <c r="C19" s="62" t="s">
        <v>150</v>
      </c>
      <c r="D19" s="46" t="s">
        <v>861</v>
      </c>
      <c r="E19" s="58">
        <v>0</v>
      </c>
      <c r="F19" s="46" t="s">
        <v>101</v>
      </c>
      <c r="G19" s="56" t="s">
        <v>107</v>
      </c>
      <c r="H19" s="56" t="s">
        <v>12</v>
      </c>
      <c r="I19" s="56" t="s">
        <v>108</v>
      </c>
      <c r="J19" s="56">
        <v>43605</v>
      </c>
      <c r="K19" s="59" t="s">
        <v>302</v>
      </c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</row>
    <row r="20" spans="1:31" ht="15.75" customHeight="1">
      <c r="A20" s="60">
        <v>43915</v>
      </c>
      <c r="B20" s="61" t="s">
        <v>867</v>
      </c>
      <c r="C20" s="62" t="s">
        <v>150</v>
      </c>
      <c r="D20" s="46" t="s">
        <v>861</v>
      </c>
      <c r="E20" s="58">
        <v>80000</v>
      </c>
      <c r="F20" s="46" t="s">
        <v>206</v>
      </c>
      <c r="G20" s="56" t="s">
        <v>107</v>
      </c>
      <c r="H20" s="56" t="s">
        <v>12</v>
      </c>
      <c r="I20" s="56" t="s">
        <v>108</v>
      </c>
      <c r="J20" s="56">
        <v>43703</v>
      </c>
      <c r="K20" s="59" t="s">
        <v>382</v>
      </c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</row>
    <row r="21" spans="1:31" ht="15.75" customHeight="1">
      <c r="A21" s="60">
        <v>43915</v>
      </c>
      <c r="B21" s="61" t="s">
        <v>870</v>
      </c>
      <c r="C21" s="62" t="s">
        <v>14</v>
      </c>
      <c r="D21" s="46" t="s">
        <v>54</v>
      </c>
      <c r="E21" s="58">
        <v>10000</v>
      </c>
      <c r="F21" s="46" t="s">
        <v>533</v>
      </c>
      <c r="G21" s="46" t="s">
        <v>107</v>
      </c>
      <c r="H21" s="46" t="s">
        <v>12</v>
      </c>
      <c r="I21" s="46" t="s">
        <v>107</v>
      </c>
      <c r="J21" s="56">
        <v>43924</v>
      </c>
      <c r="K21" s="63" t="s">
        <v>298</v>
      </c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</row>
    <row r="22" spans="1:31" ht="15.75" customHeight="1">
      <c r="A22" s="60">
        <v>43917</v>
      </c>
      <c r="B22" s="61" t="s">
        <v>874</v>
      </c>
      <c r="C22" s="62" t="s">
        <v>150</v>
      </c>
      <c r="D22" s="46" t="s">
        <v>861</v>
      </c>
      <c r="E22" s="58">
        <v>80000</v>
      </c>
      <c r="F22" s="46" t="s">
        <v>220</v>
      </c>
      <c r="G22" s="56" t="s">
        <v>107</v>
      </c>
      <c r="H22" s="56" t="s">
        <v>12</v>
      </c>
      <c r="I22" s="56" t="s">
        <v>153</v>
      </c>
      <c r="J22" s="56">
        <v>43664</v>
      </c>
      <c r="K22" s="59" t="s">
        <v>382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</row>
    <row r="23" spans="1:31" ht="15.75" customHeight="1">
      <c r="A23" s="60">
        <v>43917</v>
      </c>
      <c r="B23" s="61" t="s">
        <v>863</v>
      </c>
      <c r="C23" s="62" t="s">
        <v>14</v>
      </c>
      <c r="D23" s="46" t="s">
        <v>861</v>
      </c>
      <c r="E23" s="58">
        <v>25000</v>
      </c>
      <c r="F23" s="46" t="s">
        <v>514</v>
      </c>
      <c r="G23" s="46" t="s">
        <v>107</v>
      </c>
      <c r="H23" s="46" t="s">
        <v>12</v>
      </c>
      <c r="I23" s="46" t="s">
        <v>107</v>
      </c>
      <c r="J23" s="56">
        <v>43749</v>
      </c>
      <c r="K23" s="63" t="s">
        <v>382</v>
      </c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</row>
    <row r="24" spans="1:31" ht="15.75" customHeight="1">
      <c r="A24" s="60">
        <v>43920</v>
      </c>
      <c r="B24" s="61" t="s">
        <v>875</v>
      </c>
      <c r="C24" s="62" t="s">
        <v>150</v>
      </c>
      <c r="D24" s="46" t="s">
        <v>861</v>
      </c>
      <c r="E24" s="58">
        <v>20000</v>
      </c>
      <c r="F24" s="46" t="s">
        <v>217</v>
      </c>
      <c r="G24" s="56" t="s">
        <v>107</v>
      </c>
      <c r="H24" s="56" t="s">
        <v>12</v>
      </c>
      <c r="I24" s="56" t="s">
        <v>153</v>
      </c>
      <c r="J24" s="56">
        <v>43559</v>
      </c>
      <c r="K24" s="59" t="s">
        <v>382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</row>
    <row r="25" spans="1:31" ht="15.75" customHeight="1">
      <c r="A25" s="56">
        <v>43922</v>
      </c>
      <c r="B25" s="57" t="s">
        <v>876</v>
      </c>
      <c r="C25" s="46" t="s">
        <v>150</v>
      </c>
      <c r="D25" s="46" t="s">
        <v>237</v>
      </c>
      <c r="E25" s="58">
        <v>95799.8</v>
      </c>
      <c r="F25" s="46" t="s">
        <v>262</v>
      </c>
      <c r="G25" s="56" t="s">
        <v>107</v>
      </c>
      <c r="H25" s="56" t="s">
        <v>12</v>
      </c>
      <c r="I25" s="56" t="s">
        <v>108</v>
      </c>
      <c r="J25" s="56">
        <v>43563</v>
      </c>
      <c r="K25" s="59" t="s">
        <v>304</v>
      </c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</row>
    <row r="26" spans="1:31" ht="15.75" customHeight="1">
      <c r="A26" s="60">
        <v>43922</v>
      </c>
      <c r="B26" s="61" t="s">
        <v>876</v>
      </c>
      <c r="C26" s="62" t="s">
        <v>150</v>
      </c>
      <c r="D26" s="46" t="s">
        <v>54</v>
      </c>
      <c r="E26" s="58">
        <v>50000</v>
      </c>
      <c r="F26" s="46" t="s">
        <v>262</v>
      </c>
      <c r="G26" s="56" t="s">
        <v>107</v>
      </c>
      <c r="H26" s="56" t="s">
        <v>12</v>
      </c>
      <c r="I26" s="56" t="s">
        <v>108</v>
      </c>
      <c r="J26" s="56">
        <v>43563</v>
      </c>
      <c r="K26" s="59" t="s">
        <v>304</v>
      </c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</row>
    <row r="27" spans="1:31" ht="15.75" customHeight="1">
      <c r="A27" s="60">
        <v>43922</v>
      </c>
      <c r="B27" s="61" t="s">
        <v>877</v>
      </c>
      <c r="C27" s="62" t="s">
        <v>150</v>
      </c>
      <c r="D27" s="46" t="s">
        <v>54</v>
      </c>
      <c r="E27" s="58">
        <v>30000</v>
      </c>
      <c r="F27" s="46" t="s">
        <v>178</v>
      </c>
      <c r="G27" s="56" t="s">
        <v>107</v>
      </c>
      <c r="H27" s="56" t="s">
        <v>12</v>
      </c>
      <c r="I27" s="56" t="s">
        <v>108</v>
      </c>
      <c r="J27" s="56">
        <v>43453</v>
      </c>
      <c r="K27" s="59" t="s">
        <v>304</v>
      </c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</row>
    <row r="28" spans="1:31" ht="15.75" customHeight="1">
      <c r="A28" s="60">
        <v>43923</v>
      </c>
      <c r="B28" s="61" t="s">
        <v>867</v>
      </c>
      <c r="C28" s="62" t="s">
        <v>150</v>
      </c>
      <c r="D28" s="46" t="s">
        <v>861</v>
      </c>
      <c r="E28" s="58">
        <v>14000</v>
      </c>
      <c r="F28" s="46" t="s">
        <v>206</v>
      </c>
      <c r="G28" s="56" t="s">
        <v>107</v>
      </c>
      <c r="H28" s="56" t="s">
        <v>12</v>
      </c>
      <c r="I28" s="56" t="s">
        <v>108</v>
      </c>
      <c r="J28" s="56">
        <v>43703</v>
      </c>
      <c r="K28" s="59" t="s">
        <v>382</v>
      </c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29" spans="1:31" ht="15.75" customHeight="1">
      <c r="A29" s="56">
        <v>43924</v>
      </c>
      <c r="B29" s="57" t="s">
        <v>870</v>
      </c>
      <c r="C29" s="46" t="s">
        <v>14</v>
      </c>
      <c r="D29" s="46" t="s">
        <v>237</v>
      </c>
      <c r="E29" s="58">
        <v>0</v>
      </c>
      <c r="F29" s="46" t="s">
        <v>533</v>
      </c>
      <c r="G29" s="46" t="s">
        <v>107</v>
      </c>
      <c r="H29" s="46" t="s">
        <v>12</v>
      </c>
      <c r="I29" s="46" t="s">
        <v>107</v>
      </c>
      <c r="J29" s="56">
        <v>43684</v>
      </c>
      <c r="K29" s="63" t="s">
        <v>298</v>
      </c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</row>
    <row r="30" spans="1:31" ht="15.75" customHeight="1">
      <c r="A30" s="60">
        <v>43928</v>
      </c>
      <c r="B30" s="61" t="s">
        <v>878</v>
      </c>
      <c r="C30" s="62" t="s">
        <v>14</v>
      </c>
      <c r="D30" s="46" t="s">
        <v>861</v>
      </c>
      <c r="E30" s="58">
        <v>20000</v>
      </c>
      <c r="F30" s="46" t="s">
        <v>458</v>
      </c>
      <c r="G30" s="46" t="s">
        <v>107</v>
      </c>
      <c r="H30" s="46" t="s">
        <v>12</v>
      </c>
      <c r="I30" s="46" t="s">
        <v>107</v>
      </c>
      <c r="J30" s="56">
        <v>43872</v>
      </c>
      <c r="K30" s="63" t="s">
        <v>298</v>
      </c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</row>
    <row r="31" spans="1:31" ht="15.75" customHeight="1">
      <c r="A31" s="60">
        <v>43929</v>
      </c>
      <c r="B31" s="61" t="s">
        <v>879</v>
      </c>
      <c r="C31" s="62" t="s">
        <v>150</v>
      </c>
      <c r="D31" s="46" t="s">
        <v>861</v>
      </c>
      <c r="E31" s="58">
        <v>8000</v>
      </c>
      <c r="F31" s="46" t="s">
        <v>287</v>
      </c>
      <c r="G31" s="56" t="s">
        <v>107</v>
      </c>
      <c r="H31" s="56" t="s">
        <v>12</v>
      </c>
      <c r="I31" s="56" t="s">
        <v>108</v>
      </c>
      <c r="J31" s="56">
        <v>43738</v>
      </c>
      <c r="K31" s="59" t="s">
        <v>304</v>
      </c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</row>
    <row r="32" spans="1:31" ht="15.75" customHeight="1">
      <c r="A32" s="60">
        <v>43930</v>
      </c>
      <c r="B32" s="61" t="s">
        <v>144</v>
      </c>
      <c r="C32" s="62" t="s">
        <v>120</v>
      </c>
      <c r="D32" s="46" t="s">
        <v>861</v>
      </c>
      <c r="E32" s="58">
        <v>5000</v>
      </c>
      <c r="F32" s="46" t="s">
        <v>143</v>
      </c>
      <c r="G32" s="56" t="s">
        <v>11</v>
      </c>
      <c r="H32" s="56" t="s">
        <v>12</v>
      </c>
      <c r="I32" s="56" t="s">
        <v>88</v>
      </c>
      <c r="J32" s="56">
        <v>43797</v>
      </c>
      <c r="K32" s="59" t="s">
        <v>302</v>
      </c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</row>
    <row r="33" spans="1:31" ht="15.75" customHeight="1">
      <c r="A33" s="60">
        <v>43935</v>
      </c>
      <c r="B33" s="61" t="s">
        <v>880</v>
      </c>
      <c r="C33" s="62" t="s">
        <v>14</v>
      </c>
      <c r="D33" s="46" t="s">
        <v>861</v>
      </c>
      <c r="E33" s="58">
        <v>2000</v>
      </c>
      <c r="F33" s="46" t="s">
        <v>525</v>
      </c>
      <c r="G33" s="46" t="s">
        <v>107</v>
      </c>
      <c r="H33" s="46" t="s">
        <v>12</v>
      </c>
      <c r="I33" s="46" t="s">
        <v>107</v>
      </c>
      <c r="J33" s="56">
        <v>44225</v>
      </c>
      <c r="K33" s="63" t="s">
        <v>298</v>
      </c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</row>
    <row r="34" spans="1:31" ht="15.75" customHeight="1">
      <c r="A34" s="60">
        <v>43938</v>
      </c>
      <c r="B34" s="61" t="s">
        <v>869</v>
      </c>
      <c r="C34" s="62" t="s">
        <v>150</v>
      </c>
      <c r="D34" s="46" t="s">
        <v>861</v>
      </c>
      <c r="E34" s="58">
        <v>3000</v>
      </c>
      <c r="F34" s="46" t="s">
        <v>101</v>
      </c>
      <c r="G34" s="56" t="s">
        <v>107</v>
      </c>
      <c r="H34" s="56" t="s">
        <v>12</v>
      </c>
      <c r="I34" s="56" t="s">
        <v>108</v>
      </c>
      <c r="J34" s="56">
        <v>43605</v>
      </c>
      <c r="K34" s="59" t="s">
        <v>302</v>
      </c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</row>
    <row r="35" spans="1:31" ht="15.75" customHeight="1">
      <c r="A35" s="60">
        <v>43948</v>
      </c>
      <c r="B35" s="61" t="s">
        <v>867</v>
      </c>
      <c r="C35" s="62" t="s">
        <v>150</v>
      </c>
      <c r="D35" s="46" t="s">
        <v>861</v>
      </c>
      <c r="E35" s="58">
        <v>10000</v>
      </c>
      <c r="F35" s="46" t="s">
        <v>206</v>
      </c>
      <c r="G35" s="56" t="s">
        <v>107</v>
      </c>
      <c r="H35" s="56" t="s">
        <v>12</v>
      </c>
      <c r="I35" s="56" t="s">
        <v>108</v>
      </c>
      <c r="J35" s="56">
        <v>43703</v>
      </c>
      <c r="K35" s="59" t="s">
        <v>382</v>
      </c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</row>
    <row r="36" spans="1:31" ht="15.75" customHeight="1">
      <c r="A36" s="60">
        <v>43948</v>
      </c>
      <c r="B36" s="61" t="s">
        <v>869</v>
      </c>
      <c r="C36" s="62" t="s">
        <v>150</v>
      </c>
      <c r="D36" s="46" t="s">
        <v>861</v>
      </c>
      <c r="E36" s="58">
        <v>2000</v>
      </c>
      <c r="F36" s="46" t="s">
        <v>101</v>
      </c>
      <c r="G36" s="56" t="s">
        <v>107</v>
      </c>
      <c r="H36" s="56" t="s">
        <v>12</v>
      </c>
      <c r="I36" s="56" t="s">
        <v>108</v>
      </c>
      <c r="J36" s="56">
        <v>43605</v>
      </c>
      <c r="K36" s="59" t="s">
        <v>302</v>
      </c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</row>
    <row r="37" spans="1:31" ht="15.75" customHeight="1">
      <c r="A37" s="60">
        <v>43949</v>
      </c>
      <c r="B37" s="61" t="s">
        <v>863</v>
      </c>
      <c r="C37" s="62" t="s">
        <v>14</v>
      </c>
      <c r="D37" s="46" t="s">
        <v>861</v>
      </c>
      <c r="E37" s="58">
        <v>15000</v>
      </c>
      <c r="F37" s="46" t="s">
        <v>514</v>
      </c>
      <c r="G37" s="46" t="s">
        <v>107</v>
      </c>
      <c r="H37" s="46" t="s">
        <v>12</v>
      </c>
      <c r="I37" s="46" t="s">
        <v>107</v>
      </c>
      <c r="J37" s="56">
        <v>43749</v>
      </c>
      <c r="K37" s="63" t="s">
        <v>382</v>
      </c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</row>
    <row r="38" spans="1:31" ht="15.75" customHeight="1">
      <c r="A38" s="60">
        <v>43950</v>
      </c>
      <c r="B38" s="61" t="s">
        <v>874</v>
      </c>
      <c r="C38" s="62" t="s">
        <v>150</v>
      </c>
      <c r="D38" s="46" t="s">
        <v>861</v>
      </c>
      <c r="E38" s="58">
        <v>100000</v>
      </c>
      <c r="F38" s="46" t="s">
        <v>220</v>
      </c>
      <c r="G38" s="56" t="s">
        <v>107</v>
      </c>
      <c r="H38" s="56" t="s">
        <v>12</v>
      </c>
      <c r="I38" s="56" t="s">
        <v>153</v>
      </c>
      <c r="J38" s="56">
        <v>43664</v>
      </c>
      <c r="K38" s="59" t="s">
        <v>382</v>
      </c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</row>
    <row r="39" spans="1:31" ht="15.75" customHeight="1">
      <c r="A39" s="60">
        <v>43951</v>
      </c>
      <c r="B39" s="61" t="s">
        <v>875</v>
      </c>
      <c r="C39" s="62" t="s">
        <v>150</v>
      </c>
      <c r="D39" s="46" t="s">
        <v>861</v>
      </c>
      <c r="E39" s="58">
        <v>20000</v>
      </c>
      <c r="F39" s="46" t="s">
        <v>217</v>
      </c>
      <c r="G39" s="56" t="s">
        <v>107</v>
      </c>
      <c r="H39" s="56" t="s">
        <v>12</v>
      </c>
      <c r="I39" s="56" t="s">
        <v>153</v>
      </c>
      <c r="J39" s="56">
        <v>43559</v>
      </c>
      <c r="K39" s="59" t="s">
        <v>382</v>
      </c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</row>
    <row r="40" spans="1:31" ht="15.75" customHeight="1">
      <c r="A40" s="60">
        <v>43956</v>
      </c>
      <c r="B40" s="61" t="s">
        <v>881</v>
      </c>
      <c r="C40" s="62" t="s">
        <v>150</v>
      </c>
      <c r="D40" s="46" t="s">
        <v>861</v>
      </c>
      <c r="E40" s="58">
        <v>75000</v>
      </c>
      <c r="F40" s="46" t="s">
        <v>256</v>
      </c>
      <c r="G40" s="56" t="s">
        <v>107</v>
      </c>
      <c r="H40" s="56" t="s">
        <v>12</v>
      </c>
      <c r="I40" s="56" t="s">
        <v>108</v>
      </c>
      <c r="J40" s="56">
        <v>43699</v>
      </c>
      <c r="K40" s="59" t="s">
        <v>382</v>
      </c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</row>
    <row r="41" spans="1:31" ht="15.75" customHeight="1">
      <c r="A41" s="60">
        <v>43958</v>
      </c>
      <c r="B41" s="61" t="s">
        <v>875</v>
      </c>
      <c r="C41" s="62" t="s">
        <v>150</v>
      </c>
      <c r="D41" s="46" t="s">
        <v>861</v>
      </c>
      <c r="E41" s="58">
        <v>2000</v>
      </c>
      <c r="F41" s="46" t="s">
        <v>217</v>
      </c>
      <c r="G41" s="56" t="s">
        <v>107</v>
      </c>
      <c r="H41" s="56" t="s">
        <v>12</v>
      </c>
      <c r="I41" s="56" t="s">
        <v>153</v>
      </c>
      <c r="J41" s="56">
        <v>43559</v>
      </c>
      <c r="K41" s="59" t="s">
        <v>382</v>
      </c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</row>
    <row r="42" spans="1:31" ht="15.75" customHeight="1">
      <c r="A42" s="60">
        <v>43958</v>
      </c>
      <c r="B42" s="61" t="s">
        <v>882</v>
      </c>
      <c r="C42" s="62" t="s">
        <v>150</v>
      </c>
      <c r="D42" s="46" t="s">
        <v>861</v>
      </c>
      <c r="E42" s="58">
        <v>2000</v>
      </c>
      <c r="F42" s="46" t="s">
        <v>280</v>
      </c>
      <c r="G42" s="56" t="s">
        <v>107</v>
      </c>
      <c r="H42" s="56" t="s">
        <v>12</v>
      </c>
      <c r="I42" s="56" t="s">
        <v>108</v>
      </c>
      <c r="J42" s="56">
        <v>43717</v>
      </c>
      <c r="K42" s="59" t="s">
        <v>382</v>
      </c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</row>
    <row r="43" spans="1:31" ht="15.75" customHeight="1">
      <c r="A43" s="60">
        <v>43959</v>
      </c>
      <c r="B43" s="64" t="s">
        <v>883</v>
      </c>
      <c r="C43" s="62" t="s">
        <v>150</v>
      </c>
      <c r="D43" s="46" t="s">
        <v>861</v>
      </c>
      <c r="E43" s="65">
        <v>1000</v>
      </c>
      <c r="F43" s="46" t="s">
        <v>113</v>
      </c>
      <c r="G43" s="56" t="s">
        <v>107</v>
      </c>
      <c r="H43" s="56" t="s">
        <v>12</v>
      </c>
      <c r="I43" s="56" t="s">
        <v>108</v>
      </c>
      <c r="J43" s="56">
        <v>43894</v>
      </c>
      <c r="K43" s="59" t="s">
        <v>302</v>
      </c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</row>
    <row r="44" spans="1:31" ht="15.75" customHeight="1">
      <c r="A44" s="60">
        <v>43964</v>
      </c>
      <c r="B44" s="61" t="s">
        <v>879</v>
      </c>
      <c r="C44" s="62" t="s">
        <v>150</v>
      </c>
      <c r="D44" s="46" t="s">
        <v>861</v>
      </c>
      <c r="E44" s="58">
        <v>60000</v>
      </c>
      <c r="F44" s="46" t="s">
        <v>287</v>
      </c>
      <c r="G44" s="56" t="s">
        <v>107</v>
      </c>
      <c r="H44" s="56" t="s">
        <v>12</v>
      </c>
      <c r="I44" s="56" t="s">
        <v>108</v>
      </c>
      <c r="J44" s="56">
        <v>43738</v>
      </c>
      <c r="K44" s="59" t="s">
        <v>304</v>
      </c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</row>
    <row r="45" spans="1:31" ht="15.75" customHeight="1">
      <c r="A45" s="60">
        <v>43965</v>
      </c>
      <c r="B45" s="64" t="s">
        <v>884</v>
      </c>
      <c r="C45" s="62" t="s">
        <v>150</v>
      </c>
      <c r="D45" s="46" t="s">
        <v>861</v>
      </c>
      <c r="E45" s="58">
        <v>20000</v>
      </c>
      <c r="F45" s="46" t="s">
        <v>187</v>
      </c>
      <c r="G45" s="56" t="s">
        <v>107</v>
      </c>
      <c r="H45" s="56" t="s">
        <v>12</v>
      </c>
      <c r="I45" s="56" t="s">
        <v>153</v>
      </c>
      <c r="J45" s="56">
        <v>43913</v>
      </c>
      <c r="K45" s="59" t="s">
        <v>298</v>
      </c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</row>
    <row r="46" spans="1:31" ht="15.75" customHeight="1">
      <c r="A46" s="60">
        <v>43965</v>
      </c>
      <c r="B46" s="61" t="s">
        <v>880</v>
      </c>
      <c r="C46" s="62" t="s">
        <v>14</v>
      </c>
      <c r="D46" s="46" t="s">
        <v>861</v>
      </c>
      <c r="E46" s="58">
        <v>20000</v>
      </c>
      <c r="F46" s="46" t="s">
        <v>525</v>
      </c>
      <c r="G46" s="46" t="s">
        <v>107</v>
      </c>
      <c r="H46" s="46" t="s">
        <v>12</v>
      </c>
      <c r="I46" s="46" t="s">
        <v>107</v>
      </c>
      <c r="J46" s="56">
        <v>44225</v>
      </c>
      <c r="K46" s="63" t="s">
        <v>298</v>
      </c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</row>
    <row r="47" spans="1:31" ht="15.75" customHeight="1">
      <c r="A47" s="60">
        <v>43965</v>
      </c>
      <c r="B47" s="61" t="s">
        <v>879</v>
      </c>
      <c r="C47" s="62" t="s">
        <v>150</v>
      </c>
      <c r="D47" s="46" t="s">
        <v>861</v>
      </c>
      <c r="E47" s="58">
        <v>6000</v>
      </c>
      <c r="F47" s="46" t="s">
        <v>287</v>
      </c>
      <c r="G47" s="56" t="s">
        <v>107</v>
      </c>
      <c r="H47" s="56" t="s">
        <v>12</v>
      </c>
      <c r="I47" s="56" t="s">
        <v>108</v>
      </c>
      <c r="J47" s="56">
        <v>43738</v>
      </c>
      <c r="K47" s="59" t="s">
        <v>304</v>
      </c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</row>
    <row r="48" spans="1:31" ht="15.75" customHeight="1">
      <c r="A48" s="60">
        <v>43966</v>
      </c>
      <c r="B48" s="61" t="s">
        <v>867</v>
      </c>
      <c r="C48" s="62" t="s">
        <v>150</v>
      </c>
      <c r="D48" s="46" t="s">
        <v>861</v>
      </c>
      <c r="E48" s="58">
        <v>10000</v>
      </c>
      <c r="F48" s="46" t="s">
        <v>206</v>
      </c>
      <c r="G48" s="56" t="s">
        <v>107</v>
      </c>
      <c r="H48" s="56" t="s">
        <v>12</v>
      </c>
      <c r="I48" s="56" t="s">
        <v>108</v>
      </c>
      <c r="J48" s="56">
        <v>43703</v>
      </c>
      <c r="K48" s="59" t="s">
        <v>382</v>
      </c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55"/>
    </row>
    <row r="49" spans="1:31" ht="15.75" customHeight="1">
      <c r="A49" s="60">
        <v>43969</v>
      </c>
      <c r="B49" s="61" t="s">
        <v>883</v>
      </c>
      <c r="C49" s="62" t="s">
        <v>150</v>
      </c>
      <c r="D49" s="46" t="s">
        <v>861</v>
      </c>
      <c r="E49" s="58">
        <v>7000</v>
      </c>
      <c r="F49" s="46" t="s">
        <v>113</v>
      </c>
      <c r="G49" s="56" t="s">
        <v>107</v>
      </c>
      <c r="H49" s="56" t="s">
        <v>12</v>
      </c>
      <c r="I49" s="56" t="s">
        <v>108</v>
      </c>
      <c r="J49" s="56">
        <v>43894</v>
      </c>
      <c r="K49" s="59" t="s">
        <v>302</v>
      </c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55"/>
    </row>
    <row r="50" spans="1:31" ht="15.75" customHeight="1">
      <c r="A50" s="60">
        <v>43969</v>
      </c>
      <c r="B50" s="61" t="s">
        <v>883</v>
      </c>
      <c r="C50" s="62" t="s">
        <v>150</v>
      </c>
      <c r="D50" s="46" t="s">
        <v>861</v>
      </c>
      <c r="E50" s="58">
        <v>10000</v>
      </c>
      <c r="F50" s="46" t="s">
        <v>113</v>
      </c>
      <c r="G50" s="56" t="s">
        <v>107</v>
      </c>
      <c r="H50" s="56" t="s">
        <v>12</v>
      </c>
      <c r="I50" s="56" t="s">
        <v>108</v>
      </c>
      <c r="J50" s="56">
        <v>43894</v>
      </c>
      <c r="K50" s="59" t="s">
        <v>302</v>
      </c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</row>
    <row r="51" spans="1:31" ht="15.75" customHeight="1">
      <c r="A51" s="60">
        <v>43969</v>
      </c>
      <c r="B51" s="61" t="s">
        <v>885</v>
      </c>
      <c r="C51" s="62" t="s">
        <v>150</v>
      </c>
      <c r="D51" s="46" t="s">
        <v>861</v>
      </c>
      <c r="E51" s="58">
        <v>1000</v>
      </c>
      <c r="F51" s="46" t="s">
        <v>161</v>
      </c>
      <c r="G51" s="56" t="s">
        <v>107</v>
      </c>
      <c r="H51" s="56" t="s">
        <v>12</v>
      </c>
      <c r="I51" s="56" t="s">
        <v>108</v>
      </c>
      <c r="J51" s="56">
        <v>43867</v>
      </c>
      <c r="K51" s="59" t="s">
        <v>298</v>
      </c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55"/>
    </row>
    <row r="52" spans="1:31" ht="15.75" customHeight="1">
      <c r="A52" s="60">
        <v>43971</v>
      </c>
      <c r="B52" s="64" t="s">
        <v>863</v>
      </c>
      <c r="C52" s="62" t="s">
        <v>14</v>
      </c>
      <c r="D52" s="46" t="s">
        <v>861</v>
      </c>
      <c r="E52" s="58">
        <v>7500</v>
      </c>
      <c r="F52" s="46" t="s">
        <v>514</v>
      </c>
      <c r="G52" s="46" t="s">
        <v>107</v>
      </c>
      <c r="H52" s="46" t="s">
        <v>12</v>
      </c>
      <c r="I52" s="46" t="s">
        <v>107</v>
      </c>
      <c r="J52" s="56">
        <v>43749</v>
      </c>
      <c r="K52" s="63" t="s">
        <v>382</v>
      </c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</row>
    <row r="53" spans="1:31" ht="15.75" customHeight="1">
      <c r="A53" s="60">
        <v>43972</v>
      </c>
      <c r="B53" s="61" t="s">
        <v>881</v>
      </c>
      <c r="C53" s="62" t="s">
        <v>150</v>
      </c>
      <c r="D53" s="46" t="s">
        <v>861</v>
      </c>
      <c r="E53" s="58">
        <v>50000</v>
      </c>
      <c r="F53" s="46" t="s">
        <v>256</v>
      </c>
      <c r="G53" s="56" t="s">
        <v>107</v>
      </c>
      <c r="H53" s="56" t="s">
        <v>12</v>
      </c>
      <c r="I53" s="56" t="s">
        <v>108</v>
      </c>
      <c r="J53" s="56">
        <v>43699</v>
      </c>
      <c r="K53" s="59" t="s">
        <v>382</v>
      </c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55"/>
    </row>
    <row r="54" spans="1:31" ht="15.75" customHeight="1">
      <c r="A54" s="60">
        <v>43973</v>
      </c>
      <c r="B54" s="64" t="s">
        <v>872</v>
      </c>
      <c r="C54" s="62" t="s">
        <v>14</v>
      </c>
      <c r="D54" s="46" t="s">
        <v>861</v>
      </c>
      <c r="E54" s="58">
        <v>20000</v>
      </c>
      <c r="F54" s="46" t="s">
        <v>457</v>
      </c>
      <c r="G54" s="46" t="s">
        <v>107</v>
      </c>
      <c r="H54" s="46" t="s">
        <v>12</v>
      </c>
      <c r="I54" s="46" t="s">
        <v>107</v>
      </c>
      <c r="J54" s="56">
        <v>44252</v>
      </c>
      <c r="K54" s="63" t="s">
        <v>302</v>
      </c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</row>
    <row r="55" spans="1:31" ht="15.75" customHeight="1">
      <c r="A55" s="60">
        <v>43973</v>
      </c>
      <c r="B55" s="61" t="s">
        <v>144</v>
      </c>
      <c r="C55" s="62" t="s">
        <v>886</v>
      </c>
      <c r="D55" s="46" t="s">
        <v>861</v>
      </c>
      <c r="E55" s="58">
        <v>10000</v>
      </c>
      <c r="F55" s="46" t="s">
        <v>143</v>
      </c>
      <c r="G55" s="46" t="s">
        <v>11</v>
      </c>
      <c r="H55" s="46" t="s">
        <v>12</v>
      </c>
      <c r="I55" s="46" t="s">
        <v>88</v>
      </c>
      <c r="J55" s="56">
        <v>43797</v>
      </c>
      <c r="K55" s="59" t="s">
        <v>302</v>
      </c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</row>
    <row r="56" spans="1:31" ht="15.75" customHeight="1">
      <c r="A56" s="60">
        <v>43976</v>
      </c>
      <c r="B56" s="61" t="s">
        <v>875</v>
      </c>
      <c r="C56" s="62" t="s">
        <v>150</v>
      </c>
      <c r="D56" s="46" t="s">
        <v>861</v>
      </c>
      <c r="E56" s="58">
        <v>973440.75</v>
      </c>
      <c r="F56" s="46" t="s">
        <v>217</v>
      </c>
      <c r="G56" s="56" t="s">
        <v>107</v>
      </c>
      <c r="H56" s="56" t="s">
        <v>12</v>
      </c>
      <c r="I56" s="56" t="s">
        <v>153</v>
      </c>
      <c r="J56" s="56">
        <v>43559</v>
      </c>
      <c r="K56" s="59" t="s">
        <v>382</v>
      </c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</row>
    <row r="57" spans="1:31" ht="15.75" customHeight="1">
      <c r="A57" s="60">
        <v>43977</v>
      </c>
      <c r="B57" s="61" t="s">
        <v>867</v>
      </c>
      <c r="C57" s="62" t="s">
        <v>150</v>
      </c>
      <c r="D57" s="46" t="s">
        <v>861</v>
      </c>
      <c r="E57" s="58">
        <v>7000</v>
      </c>
      <c r="F57" s="46" t="s">
        <v>206</v>
      </c>
      <c r="G57" s="56" t="s">
        <v>107</v>
      </c>
      <c r="H57" s="56" t="s">
        <v>12</v>
      </c>
      <c r="I57" s="56" t="s">
        <v>108</v>
      </c>
      <c r="J57" s="56">
        <v>43703</v>
      </c>
      <c r="K57" s="59" t="s">
        <v>382</v>
      </c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55"/>
    </row>
    <row r="58" spans="1:31" ht="15.75" customHeight="1">
      <c r="A58" s="60">
        <v>43978</v>
      </c>
      <c r="B58" s="61" t="s">
        <v>883</v>
      </c>
      <c r="C58" s="62" t="s">
        <v>150</v>
      </c>
      <c r="D58" s="46" t="s">
        <v>861</v>
      </c>
      <c r="E58" s="58">
        <v>180000</v>
      </c>
      <c r="F58" s="46" t="s">
        <v>113</v>
      </c>
      <c r="G58" s="56" t="s">
        <v>107</v>
      </c>
      <c r="H58" s="56" t="s">
        <v>12</v>
      </c>
      <c r="I58" s="56" t="s">
        <v>108</v>
      </c>
      <c r="J58" s="56">
        <v>43894</v>
      </c>
      <c r="K58" s="59" t="s">
        <v>302</v>
      </c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</row>
    <row r="59" spans="1:31" ht="15.75" customHeight="1">
      <c r="A59" s="60">
        <v>43980</v>
      </c>
      <c r="B59" s="64" t="s">
        <v>874</v>
      </c>
      <c r="C59" s="62" t="s">
        <v>150</v>
      </c>
      <c r="D59" s="46" t="s">
        <v>861</v>
      </c>
      <c r="E59" s="58">
        <v>10701</v>
      </c>
      <c r="F59" s="46" t="s">
        <v>220</v>
      </c>
      <c r="G59" s="56" t="s">
        <v>107</v>
      </c>
      <c r="H59" s="56" t="s">
        <v>12</v>
      </c>
      <c r="I59" s="56" t="s">
        <v>153</v>
      </c>
      <c r="J59" s="56">
        <v>43664</v>
      </c>
      <c r="K59" s="59" t="s">
        <v>382</v>
      </c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</row>
    <row r="60" spans="1:31" ht="15.75" customHeight="1">
      <c r="A60" s="60">
        <v>43984</v>
      </c>
      <c r="B60" s="61" t="s">
        <v>885</v>
      </c>
      <c r="C60" s="62" t="s">
        <v>150</v>
      </c>
      <c r="D60" s="46" t="s">
        <v>861</v>
      </c>
      <c r="E60" s="58">
        <v>2000</v>
      </c>
      <c r="F60" s="46" t="s">
        <v>161</v>
      </c>
      <c r="G60" s="56" t="s">
        <v>107</v>
      </c>
      <c r="H60" s="56" t="s">
        <v>12</v>
      </c>
      <c r="I60" s="56" t="s">
        <v>108</v>
      </c>
      <c r="J60" s="56">
        <v>43867</v>
      </c>
      <c r="K60" s="59" t="s">
        <v>298</v>
      </c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</row>
    <row r="61" spans="1:31" ht="15.75" customHeight="1">
      <c r="A61" s="60">
        <v>43984</v>
      </c>
      <c r="B61" s="61" t="s">
        <v>881</v>
      </c>
      <c r="C61" s="62" t="s">
        <v>150</v>
      </c>
      <c r="D61" s="46" t="s">
        <v>861</v>
      </c>
      <c r="E61" s="58">
        <v>200000</v>
      </c>
      <c r="F61" s="46" t="s">
        <v>256</v>
      </c>
      <c r="G61" s="56" t="s">
        <v>107</v>
      </c>
      <c r="H61" s="56" t="s">
        <v>12</v>
      </c>
      <c r="I61" s="56" t="s">
        <v>108</v>
      </c>
      <c r="J61" s="56">
        <v>43699</v>
      </c>
      <c r="K61" s="59" t="s">
        <v>382</v>
      </c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</row>
    <row r="62" spans="1:31" ht="15.75" customHeight="1">
      <c r="A62" s="60">
        <v>43985</v>
      </c>
      <c r="B62" s="61" t="s">
        <v>867</v>
      </c>
      <c r="C62" s="62" t="s">
        <v>150</v>
      </c>
      <c r="D62" s="46" t="s">
        <v>861</v>
      </c>
      <c r="E62" s="58">
        <v>6000</v>
      </c>
      <c r="F62" s="46" t="s">
        <v>206</v>
      </c>
      <c r="G62" s="56" t="s">
        <v>107</v>
      </c>
      <c r="H62" s="56" t="s">
        <v>12</v>
      </c>
      <c r="I62" s="56" t="s">
        <v>108</v>
      </c>
      <c r="J62" s="56">
        <v>43703</v>
      </c>
      <c r="K62" s="59" t="s">
        <v>382</v>
      </c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</row>
    <row r="63" spans="1:31" ht="15.75" customHeight="1">
      <c r="A63" s="60">
        <v>43987</v>
      </c>
      <c r="B63" s="64" t="s">
        <v>875</v>
      </c>
      <c r="C63" s="62" t="s">
        <v>150</v>
      </c>
      <c r="D63" s="46" t="s">
        <v>861</v>
      </c>
      <c r="E63" s="58">
        <v>10000</v>
      </c>
      <c r="F63" s="46" t="s">
        <v>217</v>
      </c>
      <c r="G63" s="56" t="s">
        <v>107</v>
      </c>
      <c r="H63" s="56" t="s">
        <v>12</v>
      </c>
      <c r="I63" s="56" t="s">
        <v>153</v>
      </c>
      <c r="J63" s="56">
        <v>43559</v>
      </c>
      <c r="K63" s="59" t="s">
        <v>382</v>
      </c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</row>
    <row r="64" spans="1:31" ht="15.75" customHeight="1">
      <c r="A64" s="60">
        <v>43990</v>
      </c>
      <c r="B64" s="61" t="s">
        <v>887</v>
      </c>
      <c r="C64" s="62" t="s">
        <v>150</v>
      </c>
      <c r="D64" s="46" t="s">
        <v>861</v>
      </c>
      <c r="E64" s="58">
        <v>20000</v>
      </c>
      <c r="F64" s="46" t="s">
        <v>272</v>
      </c>
      <c r="G64" s="56" t="s">
        <v>107</v>
      </c>
      <c r="H64" s="56" t="s">
        <v>12</v>
      </c>
      <c r="I64" s="56" t="s">
        <v>153</v>
      </c>
      <c r="J64" s="56">
        <v>43607</v>
      </c>
      <c r="K64" s="59" t="s">
        <v>382</v>
      </c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</row>
    <row r="65" spans="1:31" ht="15.75" customHeight="1">
      <c r="A65" s="60">
        <v>43991</v>
      </c>
      <c r="B65" s="61" t="s">
        <v>888</v>
      </c>
      <c r="C65" s="62" t="s">
        <v>150</v>
      </c>
      <c r="D65" s="46" t="s">
        <v>861</v>
      </c>
      <c r="E65" s="58">
        <v>6000</v>
      </c>
      <c r="F65" s="46" t="s">
        <v>106</v>
      </c>
      <c r="G65" s="56" t="s">
        <v>107</v>
      </c>
      <c r="H65" s="56" t="s">
        <v>12</v>
      </c>
      <c r="I65" s="56" t="s">
        <v>108</v>
      </c>
      <c r="J65" s="56">
        <v>43564</v>
      </c>
      <c r="K65" s="59" t="s">
        <v>304</v>
      </c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</row>
    <row r="66" spans="1:31" ht="15.75" customHeight="1">
      <c r="A66" s="60">
        <v>43991</v>
      </c>
      <c r="B66" s="64" t="s">
        <v>883</v>
      </c>
      <c r="C66" s="62" t="s">
        <v>150</v>
      </c>
      <c r="D66" s="46" t="s">
        <v>861</v>
      </c>
      <c r="E66" s="58">
        <v>3000</v>
      </c>
      <c r="F66" s="46" t="s">
        <v>113</v>
      </c>
      <c r="G66" s="56" t="s">
        <v>107</v>
      </c>
      <c r="H66" s="56" t="s">
        <v>12</v>
      </c>
      <c r="I66" s="56" t="s">
        <v>108</v>
      </c>
      <c r="J66" s="56">
        <v>43894</v>
      </c>
      <c r="K66" s="59" t="s">
        <v>302</v>
      </c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</row>
    <row r="67" spans="1:31" ht="15.75" customHeight="1">
      <c r="A67" s="60">
        <v>43994</v>
      </c>
      <c r="B67" s="61" t="s">
        <v>889</v>
      </c>
      <c r="C67" s="62" t="s">
        <v>14</v>
      </c>
      <c r="D67" s="46" t="s">
        <v>861</v>
      </c>
      <c r="E67" s="58">
        <v>14000</v>
      </c>
      <c r="F67" s="46" t="s">
        <v>557</v>
      </c>
      <c r="G67" s="46" t="s">
        <v>107</v>
      </c>
      <c r="H67" s="46" t="s">
        <v>12</v>
      </c>
      <c r="I67" s="46" t="s">
        <v>107</v>
      </c>
      <c r="J67" s="56">
        <v>44216</v>
      </c>
      <c r="K67" s="63" t="s">
        <v>298</v>
      </c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</row>
    <row r="68" spans="1:31" ht="15.75" customHeight="1">
      <c r="A68" s="56">
        <v>43997</v>
      </c>
      <c r="B68" s="57" t="s">
        <v>877</v>
      </c>
      <c r="C68" s="46" t="s">
        <v>150</v>
      </c>
      <c r="D68" s="46" t="s">
        <v>237</v>
      </c>
      <c r="E68" s="58">
        <v>0</v>
      </c>
      <c r="F68" s="46" t="s">
        <v>178</v>
      </c>
      <c r="G68" s="56" t="s">
        <v>107</v>
      </c>
      <c r="H68" s="56" t="s">
        <v>12</v>
      </c>
      <c r="I68" s="56" t="s">
        <v>108</v>
      </c>
      <c r="J68" s="56">
        <v>43453</v>
      </c>
      <c r="K68" s="59" t="s">
        <v>304</v>
      </c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</row>
    <row r="69" spans="1:31" ht="15.75" customHeight="1">
      <c r="A69" s="56">
        <v>43997</v>
      </c>
      <c r="B69" s="57" t="s">
        <v>890</v>
      </c>
      <c r="C69" s="46" t="s">
        <v>150</v>
      </c>
      <c r="D69" s="46" t="s">
        <v>237</v>
      </c>
      <c r="E69" s="58">
        <v>76468.36</v>
      </c>
      <c r="F69" s="46" t="s">
        <v>236</v>
      </c>
      <c r="G69" s="56" t="s">
        <v>107</v>
      </c>
      <c r="H69" s="56" t="s">
        <v>12</v>
      </c>
      <c r="I69" s="56" t="s">
        <v>153</v>
      </c>
      <c r="J69" s="56">
        <v>43853</v>
      </c>
      <c r="K69" s="59" t="s">
        <v>302</v>
      </c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</row>
    <row r="70" spans="1:31" ht="15.75" customHeight="1">
      <c r="A70" s="56">
        <v>43998</v>
      </c>
      <c r="B70" s="57" t="s">
        <v>891</v>
      </c>
      <c r="C70" s="46" t="s">
        <v>150</v>
      </c>
      <c r="D70" s="46" t="s">
        <v>237</v>
      </c>
      <c r="E70" s="58">
        <v>36013.410000000003</v>
      </c>
      <c r="F70" s="46" t="s">
        <v>178</v>
      </c>
      <c r="G70" s="56" t="s">
        <v>107</v>
      </c>
      <c r="H70" s="56" t="s">
        <v>12</v>
      </c>
      <c r="I70" s="56" t="s">
        <v>108</v>
      </c>
      <c r="J70" s="56">
        <v>43997</v>
      </c>
      <c r="K70" s="59" t="s">
        <v>298</v>
      </c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</row>
    <row r="71" spans="1:31" ht="15.75" customHeight="1">
      <c r="A71" s="60">
        <v>43999</v>
      </c>
      <c r="B71" s="61" t="s">
        <v>882</v>
      </c>
      <c r="C71" s="62" t="s">
        <v>150</v>
      </c>
      <c r="D71" s="46" t="s">
        <v>861</v>
      </c>
      <c r="E71" s="58">
        <v>100000</v>
      </c>
      <c r="F71" s="46" t="s">
        <v>280</v>
      </c>
      <c r="G71" s="56" t="s">
        <v>107</v>
      </c>
      <c r="H71" s="56" t="s">
        <v>12</v>
      </c>
      <c r="I71" s="56" t="s">
        <v>108</v>
      </c>
      <c r="J71" s="56">
        <v>43717</v>
      </c>
      <c r="K71" s="59" t="s">
        <v>382</v>
      </c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</row>
    <row r="72" spans="1:31" ht="15.75" customHeight="1">
      <c r="A72" s="60">
        <v>43999</v>
      </c>
      <c r="B72" s="61" t="s">
        <v>881</v>
      </c>
      <c r="C72" s="62" t="s">
        <v>150</v>
      </c>
      <c r="D72" s="46" t="s">
        <v>861</v>
      </c>
      <c r="E72" s="58">
        <v>10000</v>
      </c>
      <c r="F72" s="46" t="s">
        <v>256</v>
      </c>
      <c r="G72" s="56" t="s">
        <v>107</v>
      </c>
      <c r="H72" s="56" t="s">
        <v>12</v>
      </c>
      <c r="I72" s="56" t="s">
        <v>108</v>
      </c>
      <c r="J72" s="56">
        <v>43699</v>
      </c>
      <c r="K72" s="59" t="s">
        <v>382</v>
      </c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</row>
    <row r="73" spans="1:31" ht="15.75" customHeight="1">
      <c r="A73" s="60">
        <v>43999</v>
      </c>
      <c r="B73" s="64" t="s">
        <v>888</v>
      </c>
      <c r="C73" s="62" t="s">
        <v>150</v>
      </c>
      <c r="D73" s="46" t="s">
        <v>861</v>
      </c>
      <c r="E73" s="58">
        <v>7000</v>
      </c>
      <c r="F73" s="46" t="s">
        <v>106</v>
      </c>
      <c r="G73" s="56" t="s">
        <v>107</v>
      </c>
      <c r="H73" s="56" t="s">
        <v>12</v>
      </c>
      <c r="I73" s="56" t="s">
        <v>108</v>
      </c>
      <c r="J73" s="56">
        <v>43564</v>
      </c>
      <c r="K73" s="59" t="s">
        <v>304</v>
      </c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</row>
    <row r="74" spans="1:31" ht="15.75" customHeight="1">
      <c r="A74" s="60">
        <v>44004</v>
      </c>
      <c r="B74" s="61" t="s">
        <v>888</v>
      </c>
      <c r="C74" s="62" t="s">
        <v>150</v>
      </c>
      <c r="D74" s="46" t="s">
        <v>861</v>
      </c>
      <c r="E74" s="58">
        <v>9000</v>
      </c>
      <c r="F74" s="46" t="s">
        <v>106</v>
      </c>
      <c r="G74" s="56" t="s">
        <v>107</v>
      </c>
      <c r="H74" s="56" t="s">
        <v>12</v>
      </c>
      <c r="I74" s="56" t="s">
        <v>108</v>
      </c>
      <c r="J74" s="56">
        <v>43564</v>
      </c>
      <c r="K74" s="59" t="s">
        <v>304</v>
      </c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</row>
    <row r="75" spans="1:31" ht="15.75" customHeight="1">
      <c r="A75" s="60">
        <v>44004</v>
      </c>
      <c r="B75" s="64" t="s">
        <v>875</v>
      </c>
      <c r="C75" s="62" t="s">
        <v>150</v>
      </c>
      <c r="D75" s="46" t="s">
        <v>861</v>
      </c>
      <c r="E75" s="58">
        <v>10000</v>
      </c>
      <c r="F75" s="46" t="s">
        <v>217</v>
      </c>
      <c r="G75" s="56" t="s">
        <v>107</v>
      </c>
      <c r="H75" s="56" t="s">
        <v>12</v>
      </c>
      <c r="I75" s="56" t="s">
        <v>153</v>
      </c>
      <c r="J75" s="56">
        <v>43559</v>
      </c>
      <c r="K75" s="59" t="s">
        <v>382</v>
      </c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</row>
    <row r="76" spans="1:31" ht="15.75" customHeight="1">
      <c r="A76" s="56">
        <v>44007</v>
      </c>
      <c r="B76" s="57" t="s">
        <v>892</v>
      </c>
      <c r="C76" s="46" t="s">
        <v>150</v>
      </c>
      <c r="D76" s="46" t="s">
        <v>237</v>
      </c>
      <c r="E76" s="58">
        <v>120144.24</v>
      </c>
      <c r="F76" s="46" t="s">
        <v>210</v>
      </c>
      <c r="G76" s="56" t="s">
        <v>107</v>
      </c>
      <c r="H76" s="56" t="s">
        <v>12</v>
      </c>
      <c r="I76" s="56" t="s">
        <v>153</v>
      </c>
      <c r="J76" s="56">
        <v>43822</v>
      </c>
      <c r="K76" s="59" t="s">
        <v>298</v>
      </c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  <c r="AD76" s="55"/>
      <c r="AE76" s="55"/>
    </row>
    <row r="77" spans="1:31" ht="15.75" customHeight="1">
      <c r="A77" s="60">
        <v>44007</v>
      </c>
      <c r="B77" s="61" t="s">
        <v>883</v>
      </c>
      <c r="C77" s="62" t="s">
        <v>150</v>
      </c>
      <c r="D77" s="46" t="s">
        <v>861</v>
      </c>
      <c r="E77" s="58">
        <v>160000</v>
      </c>
      <c r="F77" s="46" t="s">
        <v>113</v>
      </c>
      <c r="G77" s="56" t="s">
        <v>107</v>
      </c>
      <c r="H77" s="56" t="s">
        <v>12</v>
      </c>
      <c r="I77" s="56" t="s">
        <v>108</v>
      </c>
      <c r="J77" s="56">
        <v>43894</v>
      </c>
      <c r="K77" s="59" t="s">
        <v>302</v>
      </c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</row>
    <row r="78" spans="1:31" ht="15.75" customHeight="1">
      <c r="A78" s="60">
        <v>44007</v>
      </c>
      <c r="B78" s="61" t="s">
        <v>869</v>
      </c>
      <c r="C78" s="62" t="s">
        <v>150</v>
      </c>
      <c r="D78" s="46" t="s">
        <v>861</v>
      </c>
      <c r="E78" s="58">
        <v>2500</v>
      </c>
      <c r="F78" s="46" t="s">
        <v>101</v>
      </c>
      <c r="G78" s="56" t="s">
        <v>107</v>
      </c>
      <c r="H78" s="56" t="s">
        <v>12</v>
      </c>
      <c r="I78" s="56" t="s">
        <v>108</v>
      </c>
      <c r="J78" s="56">
        <v>43605</v>
      </c>
      <c r="K78" s="59" t="s">
        <v>302</v>
      </c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  <c r="AE78" s="55"/>
    </row>
    <row r="79" spans="1:31" ht="15.75" customHeight="1">
      <c r="A79" s="60">
        <v>44008</v>
      </c>
      <c r="B79" s="61" t="s">
        <v>867</v>
      </c>
      <c r="C79" s="62" t="s">
        <v>150</v>
      </c>
      <c r="D79" s="46" t="s">
        <v>861</v>
      </c>
      <c r="E79" s="58">
        <v>11000</v>
      </c>
      <c r="F79" s="46" t="s">
        <v>206</v>
      </c>
      <c r="G79" s="56" t="s">
        <v>107</v>
      </c>
      <c r="H79" s="56" t="s">
        <v>12</v>
      </c>
      <c r="I79" s="56" t="s">
        <v>108</v>
      </c>
      <c r="J79" s="56">
        <v>43703</v>
      </c>
      <c r="K79" s="59" t="s">
        <v>382</v>
      </c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  <c r="AE79" s="55"/>
    </row>
    <row r="80" spans="1:31" ht="15.75" customHeight="1">
      <c r="A80" s="56">
        <v>44011</v>
      </c>
      <c r="B80" s="57" t="s">
        <v>889</v>
      </c>
      <c r="C80" s="46" t="s">
        <v>14</v>
      </c>
      <c r="D80" s="46" t="s">
        <v>237</v>
      </c>
      <c r="E80" s="58">
        <v>0</v>
      </c>
      <c r="F80" s="46" t="s">
        <v>557</v>
      </c>
      <c r="G80" s="46" t="s">
        <v>107</v>
      </c>
      <c r="H80" s="46" t="s">
        <v>12</v>
      </c>
      <c r="I80" s="46" t="s">
        <v>107</v>
      </c>
      <c r="J80" s="56">
        <v>44216</v>
      </c>
      <c r="K80" s="63" t="s">
        <v>298</v>
      </c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</row>
    <row r="81" spans="1:31" ht="15.75" customHeight="1">
      <c r="A81" s="60">
        <v>44012</v>
      </c>
      <c r="B81" s="61" t="s">
        <v>893</v>
      </c>
      <c r="C81" s="62" t="s">
        <v>150</v>
      </c>
      <c r="D81" s="46" t="s">
        <v>861</v>
      </c>
      <c r="E81" s="58">
        <v>36000</v>
      </c>
      <c r="F81" s="46" t="s">
        <v>200</v>
      </c>
      <c r="G81" s="56" t="s">
        <v>107</v>
      </c>
      <c r="H81" s="56" t="s">
        <v>12</v>
      </c>
      <c r="I81" s="56" t="s">
        <v>108</v>
      </c>
      <c r="J81" s="56">
        <v>43888</v>
      </c>
      <c r="K81" s="59" t="s">
        <v>298</v>
      </c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</row>
    <row r="82" spans="1:31" ht="15.75" customHeight="1">
      <c r="A82" s="60">
        <v>44014</v>
      </c>
      <c r="B82" s="61" t="s">
        <v>875</v>
      </c>
      <c r="C82" s="62" t="s">
        <v>150</v>
      </c>
      <c r="D82" s="46" t="s">
        <v>861</v>
      </c>
      <c r="E82" s="58">
        <v>100000</v>
      </c>
      <c r="F82" s="46" t="s">
        <v>217</v>
      </c>
      <c r="G82" s="56" t="s">
        <v>107</v>
      </c>
      <c r="H82" s="56" t="s">
        <v>12</v>
      </c>
      <c r="I82" s="56" t="s">
        <v>153</v>
      </c>
      <c r="J82" s="56">
        <v>43559</v>
      </c>
      <c r="K82" s="59" t="s">
        <v>382</v>
      </c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  <c r="AD82" s="55"/>
      <c r="AE82" s="55"/>
    </row>
    <row r="83" spans="1:31" ht="15.75" customHeight="1">
      <c r="A83" s="60">
        <v>44022</v>
      </c>
      <c r="B83" s="61" t="s">
        <v>144</v>
      </c>
      <c r="C83" s="62" t="s">
        <v>120</v>
      </c>
      <c r="D83" s="46" t="s">
        <v>861</v>
      </c>
      <c r="E83" s="58">
        <v>100000</v>
      </c>
      <c r="F83" s="46" t="s">
        <v>143</v>
      </c>
      <c r="G83" s="56" t="s">
        <v>11</v>
      </c>
      <c r="H83" s="56" t="s">
        <v>12</v>
      </c>
      <c r="I83" s="56" t="s">
        <v>88</v>
      </c>
      <c r="J83" s="56">
        <v>43797</v>
      </c>
      <c r="K83" s="59" t="s">
        <v>302</v>
      </c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  <c r="AD83" s="55"/>
      <c r="AE83" s="55"/>
    </row>
    <row r="84" spans="1:31" ht="15.75" customHeight="1">
      <c r="A84" s="60">
        <v>44022</v>
      </c>
      <c r="B84" s="61" t="s">
        <v>894</v>
      </c>
      <c r="C84" s="62" t="s">
        <v>150</v>
      </c>
      <c r="D84" s="46" t="s">
        <v>861</v>
      </c>
      <c r="E84" s="58">
        <v>40078.019999999997</v>
      </c>
      <c r="F84" s="46" t="s">
        <v>268</v>
      </c>
      <c r="G84" s="56" t="s">
        <v>107</v>
      </c>
      <c r="H84" s="56" t="s">
        <v>12</v>
      </c>
      <c r="I84" s="56" t="s">
        <v>108</v>
      </c>
      <c r="J84" s="56">
        <v>43840</v>
      </c>
      <c r="K84" s="59" t="s">
        <v>302</v>
      </c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</row>
    <row r="85" spans="1:31" ht="15.75" customHeight="1">
      <c r="A85" s="60">
        <v>44023</v>
      </c>
      <c r="B85" s="61" t="s">
        <v>895</v>
      </c>
      <c r="C85" s="62" t="s">
        <v>150</v>
      </c>
      <c r="D85" s="46" t="s">
        <v>861</v>
      </c>
      <c r="E85" s="58">
        <v>46758.86</v>
      </c>
      <c r="F85" s="46" t="s">
        <v>211</v>
      </c>
      <c r="G85" s="56" t="s">
        <v>107</v>
      </c>
      <c r="H85" s="56" t="s">
        <v>12</v>
      </c>
      <c r="I85" s="56" t="s">
        <v>108</v>
      </c>
      <c r="J85" s="56">
        <v>43620</v>
      </c>
      <c r="K85" s="59" t="s">
        <v>304</v>
      </c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  <c r="AE85" s="55"/>
    </row>
    <row r="86" spans="1:31" ht="15.75" customHeight="1">
      <c r="A86" s="56">
        <v>44025</v>
      </c>
      <c r="B86" s="57" t="s">
        <v>896</v>
      </c>
      <c r="C86" s="46" t="s">
        <v>150</v>
      </c>
      <c r="D86" s="46" t="s">
        <v>237</v>
      </c>
      <c r="E86" s="58">
        <v>0</v>
      </c>
      <c r="F86" s="46" t="s">
        <v>288</v>
      </c>
      <c r="G86" s="56" t="s">
        <v>107</v>
      </c>
      <c r="H86" s="56" t="s">
        <v>12</v>
      </c>
      <c r="I86" s="56" t="s">
        <v>108</v>
      </c>
      <c r="J86" s="56">
        <v>43538</v>
      </c>
      <c r="K86" s="59" t="s">
        <v>382</v>
      </c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</row>
    <row r="87" spans="1:31" ht="15.75" customHeight="1">
      <c r="A87" s="56">
        <v>44025</v>
      </c>
      <c r="B87" s="57" t="s">
        <v>897</v>
      </c>
      <c r="C87" s="46" t="s">
        <v>150</v>
      </c>
      <c r="D87" s="46" t="s">
        <v>237</v>
      </c>
      <c r="E87" s="58">
        <v>0</v>
      </c>
      <c r="F87" s="46" t="s">
        <v>288</v>
      </c>
      <c r="G87" s="56" t="s">
        <v>107</v>
      </c>
      <c r="H87" s="56" t="s">
        <v>12</v>
      </c>
      <c r="I87" s="56" t="s">
        <v>108</v>
      </c>
      <c r="J87" s="56">
        <v>43538</v>
      </c>
      <c r="K87" s="59" t="s">
        <v>304</v>
      </c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  <c r="AD87" s="55"/>
      <c r="AE87" s="55"/>
    </row>
    <row r="88" spans="1:31" ht="15.75" customHeight="1">
      <c r="A88" s="60">
        <v>44029</v>
      </c>
      <c r="B88" s="61" t="s">
        <v>883</v>
      </c>
      <c r="C88" s="62" t="s">
        <v>150</v>
      </c>
      <c r="D88" s="46" t="s">
        <v>861</v>
      </c>
      <c r="E88" s="58">
        <v>60000</v>
      </c>
      <c r="F88" s="46" t="s">
        <v>113</v>
      </c>
      <c r="G88" s="56" t="s">
        <v>107</v>
      </c>
      <c r="H88" s="56" t="s">
        <v>12</v>
      </c>
      <c r="I88" s="56" t="s">
        <v>108</v>
      </c>
      <c r="J88" s="56">
        <v>43894</v>
      </c>
      <c r="K88" s="59" t="s">
        <v>302</v>
      </c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55"/>
    </row>
    <row r="89" spans="1:31" ht="15.75" customHeight="1">
      <c r="A89" s="60">
        <v>44032</v>
      </c>
      <c r="B89" s="61" t="s">
        <v>869</v>
      </c>
      <c r="C89" s="62" t="s">
        <v>150</v>
      </c>
      <c r="D89" s="46" t="s">
        <v>861</v>
      </c>
      <c r="E89" s="58">
        <v>211079.19</v>
      </c>
      <c r="F89" s="46" t="s">
        <v>101</v>
      </c>
      <c r="G89" s="56" t="s">
        <v>107</v>
      </c>
      <c r="H89" s="56" t="s">
        <v>12</v>
      </c>
      <c r="I89" s="56" t="s">
        <v>108</v>
      </c>
      <c r="J89" s="56">
        <v>43605</v>
      </c>
      <c r="K89" s="59" t="s">
        <v>302</v>
      </c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  <c r="AE89" s="55"/>
    </row>
    <row r="90" spans="1:31" ht="15.75" customHeight="1">
      <c r="A90" s="60">
        <v>44032</v>
      </c>
      <c r="B90" s="61" t="s">
        <v>898</v>
      </c>
      <c r="C90" s="62" t="s">
        <v>150</v>
      </c>
      <c r="D90" s="46" t="s">
        <v>861</v>
      </c>
      <c r="E90" s="58">
        <v>7000</v>
      </c>
      <c r="F90" s="46" t="s">
        <v>231</v>
      </c>
      <c r="G90" s="56" t="s">
        <v>107</v>
      </c>
      <c r="H90" s="56" t="s">
        <v>12</v>
      </c>
      <c r="I90" s="56" t="s">
        <v>108</v>
      </c>
      <c r="J90" s="56">
        <v>43732</v>
      </c>
      <c r="K90" s="59" t="s">
        <v>382</v>
      </c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  <c r="AE90" s="55"/>
    </row>
    <row r="91" spans="1:31" ht="15.75" customHeight="1">
      <c r="A91" s="60">
        <v>44032</v>
      </c>
      <c r="B91" s="61" t="s">
        <v>899</v>
      </c>
      <c r="C91" s="62" t="s">
        <v>150</v>
      </c>
      <c r="D91" s="46" t="s">
        <v>861</v>
      </c>
      <c r="E91" s="58">
        <v>14000</v>
      </c>
      <c r="F91" s="46" t="s">
        <v>233</v>
      </c>
      <c r="G91" s="56" t="s">
        <v>107</v>
      </c>
      <c r="H91" s="56" t="s">
        <v>12</v>
      </c>
      <c r="I91" s="56" t="s">
        <v>108</v>
      </c>
      <c r="J91" s="56">
        <v>43620</v>
      </c>
      <c r="K91" s="59" t="s">
        <v>298</v>
      </c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</row>
    <row r="92" spans="1:31" ht="15.75" customHeight="1">
      <c r="A92" s="60">
        <v>44032</v>
      </c>
      <c r="B92" s="61" t="s">
        <v>900</v>
      </c>
      <c r="C92" s="62" t="s">
        <v>14</v>
      </c>
      <c r="D92" s="46" t="s">
        <v>861</v>
      </c>
      <c r="E92" s="58">
        <v>10000</v>
      </c>
      <c r="F92" s="46" t="s">
        <v>233</v>
      </c>
      <c r="G92" s="46" t="s">
        <v>107</v>
      </c>
      <c r="H92" s="46" t="s">
        <v>12</v>
      </c>
      <c r="I92" s="46" t="s">
        <v>107</v>
      </c>
      <c r="J92" s="56">
        <v>43700</v>
      </c>
      <c r="K92" s="63" t="s">
        <v>298</v>
      </c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</row>
    <row r="93" spans="1:31" ht="15.75" customHeight="1">
      <c r="A93" s="60">
        <v>44033</v>
      </c>
      <c r="B93" s="64" t="s">
        <v>884</v>
      </c>
      <c r="C93" s="62" t="s">
        <v>150</v>
      </c>
      <c r="D93" s="46" t="s">
        <v>54</v>
      </c>
      <c r="E93" s="58">
        <v>30000</v>
      </c>
      <c r="F93" s="46" t="s">
        <v>187</v>
      </c>
      <c r="G93" s="56" t="s">
        <v>107</v>
      </c>
      <c r="H93" s="56" t="s">
        <v>12</v>
      </c>
      <c r="I93" s="56" t="s">
        <v>153</v>
      </c>
      <c r="J93" s="56">
        <v>43913</v>
      </c>
      <c r="K93" s="59" t="s">
        <v>298</v>
      </c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5"/>
      <c r="AE93" s="55"/>
    </row>
    <row r="94" spans="1:31" ht="15.75" customHeight="1">
      <c r="A94" s="60">
        <v>44034</v>
      </c>
      <c r="B94" s="61" t="s">
        <v>901</v>
      </c>
      <c r="C94" s="62" t="s">
        <v>150</v>
      </c>
      <c r="D94" s="46" t="s">
        <v>54</v>
      </c>
      <c r="E94" s="58">
        <v>20000</v>
      </c>
      <c r="F94" s="46" t="s">
        <v>252</v>
      </c>
      <c r="G94" s="56" t="s">
        <v>104</v>
      </c>
      <c r="H94" s="56" t="s">
        <v>12</v>
      </c>
      <c r="I94" s="56" t="s">
        <v>104</v>
      </c>
      <c r="J94" s="56">
        <v>43441</v>
      </c>
      <c r="K94" s="59" t="s">
        <v>304</v>
      </c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  <c r="AB94" s="55"/>
      <c r="AC94" s="55"/>
      <c r="AD94" s="55"/>
      <c r="AE94" s="55"/>
    </row>
    <row r="95" spans="1:31" ht="15.75" customHeight="1">
      <c r="A95" s="60">
        <v>44036</v>
      </c>
      <c r="B95" s="61" t="s">
        <v>899</v>
      </c>
      <c r="C95" s="62" t="s">
        <v>150</v>
      </c>
      <c r="D95" s="46" t="s">
        <v>861</v>
      </c>
      <c r="E95" s="58">
        <v>3500</v>
      </c>
      <c r="F95" s="46" t="s">
        <v>233</v>
      </c>
      <c r="G95" s="56" t="s">
        <v>107</v>
      </c>
      <c r="H95" s="56" t="s">
        <v>12</v>
      </c>
      <c r="I95" s="56" t="s">
        <v>108</v>
      </c>
      <c r="J95" s="56">
        <v>43620</v>
      </c>
      <c r="K95" s="59" t="s">
        <v>298</v>
      </c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</row>
    <row r="96" spans="1:31" ht="15.75" customHeight="1">
      <c r="A96" s="60">
        <v>44036</v>
      </c>
      <c r="B96" s="64" t="s">
        <v>895</v>
      </c>
      <c r="C96" s="62" t="s">
        <v>150</v>
      </c>
      <c r="D96" s="46" t="s">
        <v>54</v>
      </c>
      <c r="E96" s="58">
        <v>7000</v>
      </c>
      <c r="F96" s="46" t="s">
        <v>211</v>
      </c>
      <c r="G96" s="56" t="s">
        <v>107</v>
      </c>
      <c r="H96" s="56" t="s">
        <v>12</v>
      </c>
      <c r="I96" s="56" t="s">
        <v>108</v>
      </c>
      <c r="J96" s="56">
        <v>43620</v>
      </c>
      <c r="K96" s="59" t="s">
        <v>304</v>
      </c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  <c r="AB96" s="55"/>
      <c r="AC96" s="55"/>
      <c r="AD96" s="55"/>
      <c r="AE96" s="55"/>
    </row>
    <row r="97" spans="1:31" ht="15.75" customHeight="1">
      <c r="A97" s="60">
        <v>44039</v>
      </c>
      <c r="B97" s="61" t="s">
        <v>894</v>
      </c>
      <c r="C97" s="62" t="s">
        <v>150</v>
      </c>
      <c r="D97" s="46" t="s">
        <v>861</v>
      </c>
      <c r="E97" s="58">
        <v>20000</v>
      </c>
      <c r="F97" s="46" t="s">
        <v>268</v>
      </c>
      <c r="G97" s="56" t="s">
        <v>107</v>
      </c>
      <c r="H97" s="56" t="s">
        <v>12</v>
      </c>
      <c r="I97" s="56" t="s">
        <v>108</v>
      </c>
      <c r="J97" s="56">
        <v>43840</v>
      </c>
      <c r="K97" s="59" t="s">
        <v>302</v>
      </c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  <c r="AC97" s="55"/>
      <c r="AD97" s="55"/>
      <c r="AE97" s="55"/>
    </row>
    <row r="98" spans="1:31" ht="15.75" customHeight="1">
      <c r="A98" s="60">
        <v>44039</v>
      </c>
      <c r="B98" s="64" t="s">
        <v>869</v>
      </c>
      <c r="C98" s="62" t="s">
        <v>150</v>
      </c>
      <c r="D98" s="46" t="s">
        <v>861</v>
      </c>
      <c r="E98" s="58">
        <v>5000</v>
      </c>
      <c r="F98" s="46" t="s">
        <v>101</v>
      </c>
      <c r="G98" s="56" t="s">
        <v>107</v>
      </c>
      <c r="H98" s="56" t="s">
        <v>12</v>
      </c>
      <c r="I98" s="56" t="s">
        <v>108</v>
      </c>
      <c r="J98" s="56">
        <v>43605</v>
      </c>
      <c r="K98" s="59" t="s">
        <v>302</v>
      </c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  <c r="AB98" s="55"/>
      <c r="AC98" s="55"/>
      <c r="AD98" s="55"/>
      <c r="AE98" s="55"/>
    </row>
    <row r="99" spans="1:31" ht="15.75" customHeight="1">
      <c r="A99" s="60">
        <v>44040</v>
      </c>
      <c r="B99" s="61" t="s">
        <v>867</v>
      </c>
      <c r="C99" s="62" t="s">
        <v>150</v>
      </c>
      <c r="D99" s="46" t="s">
        <v>861</v>
      </c>
      <c r="E99" s="58">
        <v>10000</v>
      </c>
      <c r="F99" s="46" t="s">
        <v>206</v>
      </c>
      <c r="G99" s="56" t="s">
        <v>107</v>
      </c>
      <c r="H99" s="56" t="s">
        <v>12</v>
      </c>
      <c r="I99" s="56" t="s">
        <v>108</v>
      </c>
      <c r="J99" s="56">
        <v>43703</v>
      </c>
      <c r="K99" s="59" t="s">
        <v>382</v>
      </c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  <c r="AB99" s="55"/>
      <c r="AC99" s="55"/>
      <c r="AD99" s="55"/>
      <c r="AE99" s="55"/>
    </row>
    <row r="100" spans="1:31" ht="15.75" customHeight="1">
      <c r="A100" s="56">
        <v>44041</v>
      </c>
      <c r="B100" s="57" t="s">
        <v>902</v>
      </c>
      <c r="C100" s="46" t="s">
        <v>150</v>
      </c>
      <c r="D100" s="46" t="s">
        <v>237</v>
      </c>
      <c r="E100" s="58">
        <v>0</v>
      </c>
      <c r="F100" s="46" t="s">
        <v>903</v>
      </c>
      <c r="G100" s="56"/>
      <c r="H100" s="56"/>
      <c r="I100" s="56"/>
      <c r="J100" s="56"/>
      <c r="K100" s="59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  <c r="AB100" s="55"/>
      <c r="AC100" s="55"/>
      <c r="AD100" s="55"/>
      <c r="AE100" s="55"/>
    </row>
    <row r="101" spans="1:31" ht="15.75" customHeight="1">
      <c r="A101" s="60">
        <v>44041</v>
      </c>
      <c r="B101" s="64" t="s">
        <v>893</v>
      </c>
      <c r="C101" s="62" t="s">
        <v>150</v>
      </c>
      <c r="D101" s="46" t="s">
        <v>861</v>
      </c>
      <c r="E101" s="58">
        <v>151239.98000000001</v>
      </c>
      <c r="F101" s="46" t="s">
        <v>200</v>
      </c>
      <c r="G101" s="56" t="s">
        <v>107</v>
      </c>
      <c r="H101" s="56" t="s">
        <v>12</v>
      </c>
      <c r="I101" s="56" t="s">
        <v>108</v>
      </c>
      <c r="J101" s="56">
        <v>43888</v>
      </c>
      <c r="K101" s="59" t="s">
        <v>298</v>
      </c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  <c r="AC101" s="55"/>
      <c r="AD101" s="55"/>
      <c r="AE101" s="55"/>
    </row>
    <row r="102" spans="1:31" ht="15.75" customHeight="1">
      <c r="A102" s="60">
        <v>44041</v>
      </c>
      <c r="B102" s="61" t="s">
        <v>124</v>
      </c>
      <c r="C102" s="62" t="s">
        <v>120</v>
      </c>
      <c r="D102" s="46" t="s">
        <v>861</v>
      </c>
      <c r="E102" s="58">
        <v>10000</v>
      </c>
      <c r="F102" s="46" t="s">
        <v>41</v>
      </c>
      <c r="G102" s="56" t="s">
        <v>11</v>
      </c>
      <c r="H102" s="56" t="s">
        <v>12</v>
      </c>
      <c r="I102" s="56" t="s">
        <v>125</v>
      </c>
      <c r="J102" s="56">
        <v>43934</v>
      </c>
      <c r="K102" s="59" t="s">
        <v>295</v>
      </c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</row>
    <row r="103" spans="1:31" ht="15.75" customHeight="1">
      <c r="A103" s="56">
        <v>44042</v>
      </c>
      <c r="B103" s="66" t="s">
        <v>904</v>
      </c>
      <c r="C103" s="46" t="s">
        <v>14</v>
      </c>
      <c r="D103" s="46" t="s">
        <v>237</v>
      </c>
      <c r="E103" s="58">
        <v>0</v>
      </c>
      <c r="F103" s="46" t="s">
        <v>331</v>
      </c>
      <c r="G103" s="46" t="s">
        <v>107</v>
      </c>
      <c r="H103" s="46" t="s">
        <v>12</v>
      </c>
      <c r="I103" s="46" t="s">
        <v>107</v>
      </c>
      <c r="J103" s="56">
        <v>43838</v>
      </c>
      <c r="K103" s="63" t="s">
        <v>332</v>
      </c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  <c r="AD103" s="55"/>
      <c r="AE103" s="55"/>
    </row>
    <row r="104" spans="1:31" ht="15.75" customHeight="1">
      <c r="A104" s="60">
        <v>44042</v>
      </c>
      <c r="B104" s="61" t="s">
        <v>142</v>
      </c>
      <c r="C104" s="62" t="s">
        <v>120</v>
      </c>
      <c r="D104" s="46" t="s">
        <v>861</v>
      </c>
      <c r="E104" s="58">
        <v>10000</v>
      </c>
      <c r="F104" s="46" t="s">
        <v>141</v>
      </c>
      <c r="G104" s="56" t="s">
        <v>11</v>
      </c>
      <c r="H104" s="56" t="s">
        <v>12</v>
      </c>
      <c r="I104" s="56" t="s">
        <v>125</v>
      </c>
      <c r="J104" s="56">
        <v>43635</v>
      </c>
      <c r="K104" s="59" t="s">
        <v>382</v>
      </c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</row>
    <row r="105" spans="1:31" ht="15.75" customHeight="1">
      <c r="A105" s="56">
        <v>44044</v>
      </c>
      <c r="B105" s="57" t="s">
        <v>905</v>
      </c>
      <c r="C105" s="46" t="s">
        <v>150</v>
      </c>
      <c r="D105" s="46" t="s">
        <v>237</v>
      </c>
      <c r="E105" s="58">
        <v>151239.98000000001</v>
      </c>
      <c r="F105" s="46" t="s">
        <v>265</v>
      </c>
      <c r="G105" s="56" t="s">
        <v>107</v>
      </c>
      <c r="H105" s="56" t="s">
        <v>12</v>
      </c>
      <c r="I105" s="56" t="s">
        <v>108</v>
      </c>
      <c r="J105" s="56">
        <v>43668</v>
      </c>
      <c r="K105" s="59" t="s">
        <v>382</v>
      </c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</row>
    <row r="106" spans="1:31" ht="15.75" customHeight="1">
      <c r="A106" s="60">
        <v>44046</v>
      </c>
      <c r="B106" s="61" t="s">
        <v>875</v>
      </c>
      <c r="C106" s="62" t="s">
        <v>150</v>
      </c>
      <c r="D106" s="46" t="s">
        <v>861</v>
      </c>
      <c r="E106" s="58">
        <v>3000</v>
      </c>
      <c r="F106" s="46" t="s">
        <v>217</v>
      </c>
      <c r="G106" s="56" t="s">
        <v>107</v>
      </c>
      <c r="H106" s="56" t="s">
        <v>12</v>
      </c>
      <c r="I106" s="56" t="s">
        <v>153</v>
      </c>
      <c r="J106" s="56">
        <v>43559</v>
      </c>
      <c r="K106" s="59" t="s">
        <v>382</v>
      </c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</row>
    <row r="107" spans="1:31" ht="15.75" customHeight="1">
      <c r="A107" s="60">
        <v>44046</v>
      </c>
      <c r="B107" s="61" t="s">
        <v>860</v>
      </c>
      <c r="C107" s="62" t="s">
        <v>150</v>
      </c>
      <c r="D107" s="46" t="s">
        <v>861</v>
      </c>
      <c r="E107" s="58">
        <v>6500</v>
      </c>
      <c r="F107" s="46" t="s">
        <v>270</v>
      </c>
      <c r="G107" s="56" t="s">
        <v>107</v>
      </c>
      <c r="H107" s="56" t="s">
        <v>12</v>
      </c>
      <c r="I107" s="56" t="s">
        <v>108</v>
      </c>
      <c r="J107" s="56">
        <v>43675</v>
      </c>
      <c r="K107" s="59" t="s">
        <v>382</v>
      </c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  <c r="AC107" s="55"/>
      <c r="AD107" s="55"/>
      <c r="AE107" s="55"/>
    </row>
    <row r="108" spans="1:31" ht="15.75" customHeight="1">
      <c r="A108" s="60">
        <v>44048</v>
      </c>
      <c r="B108" s="64" t="s">
        <v>872</v>
      </c>
      <c r="C108" s="62" t="s">
        <v>14</v>
      </c>
      <c r="D108" s="46" t="s">
        <v>861</v>
      </c>
      <c r="E108" s="58">
        <v>10000</v>
      </c>
      <c r="F108" s="46" t="s">
        <v>457</v>
      </c>
      <c r="G108" s="46" t="s">
        <v>107</v>
      </c>
      <c r="H108" s="46" t="s">
        <v>12</v>
      </c>
      <c r="I108" s="46" t="s">
        <v>107</v>
      </c>
      <c r="J108" s="56">
        <v>44252</v>
      </c>
      <c r="K108" s="63" t="s">
        <v>302</v>
      </c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  <c r="AD108" s="55"/>
      <c r="AE108" s="55"/>
    </row>
    <row r="109" spans="1:31" ht="15.75" customHeight="1">
      <c r="A109" s="60">
        <v>44048</v>
      </c>
      <c r="B109" s="61" t="s">
        <v>881</v>
      </c>
      <c r="C109" s="62" t="s">
        <v>150</v>
      </c>
      <c r="D109" s="46" t="s">
        <v>861</v>
      </c>
      <c r="E109" s="58">
        <v>33000</v>
      </c>
      <c r="F109" s="46" t="s">
        <v>256</v>
      </c>
      <c r="G109" s="56" t="s">
        <v>107</v>
      </c>
      <c r="H109" s="56" t="s">
        <v>12</v>
      </c>
      <c r="I109" s="56" t="s">
        <v>108</v>
      </c>
      <c r="J109" s="56">
        <v>43699</v>
      </c>
      <c r="K109" s="59" t="s">
        <v>382</v>
      </c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  <c r="AD109" s="55"/>
      <c r="AE109" s="55"/>
    </row>
    <row r="110" spans="1:31" ht="15.75" customHeight="1">
      <c r="A110" s="60">
        <v>44049</v>
      </c>
      <c r="B110" s="61" t="s">
        <v>905</v>
      </c>
      <c r="C110" s="62" t="s">
        <v>150</v>
      </c>
      <c r="D110" s="46" t="s">
        <v>54</v>
      </c>
      <c r="E110" s="58">
        <v>5000</v>
      </c>
      <c r="F110" s="46" t="s">
        <v>265</v>
      </c>
      <c r="G110" s="56" t="s">
        <v>107</v>
      </c>
      <c r="H110" s="56" t="s">
        <v>12</v>
      </c>
      <c r="I110" s="56" t="s">
        <v>108</v>
      </c>
      <c r="J110" s="56">
        <v>43668</v>
      </c>
      <c r="K110" s="59" t="s">
        <v>382</v>
      </c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C110" s="55"/>
      <c r="AD110" s="55"/>
      <c r="AE110" s="55"/>
    </row>
    <row r="111" spans="1:31" ht="15.75" customHeight="1">
      <c r="A111" s="60">
        <v>44049</v>
      </c>
      <c r="B111" s="61" t="s">
        <v>893</v>
      </c>
      <c r="C111" s="62" t="s">
        <v>150</v>
      </c>
      <c r="D111" s="46" t="s">
        <v>861</v>
      </c>
      <c r="E111" s="58">
        <v>99216.1</v>
      </c>
      <c r="F111" s="46" t="s">
        <v>200</v>
      </c>
      <c r="G111" s="56" t="s">
        <v>107</v>
      </c>
      <c r="H111" s="56" t="s">
        <v>12</v>
      </c>
      <c r="I111" s="56" t="s">
        <v>108</v>
      </c>
      <c r="J111" s="56">
        <v>43888</v>
      </c>
      <c r="K111" s="59" t="s">
        <v>298</v>
      </c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  <c r="AD111" s="55"/>
      <c r="AE111" s="55"/>
    </row>
    <row r="112" spans="1:31" ht="15.75" customHeight="1">
      <c r="A112" s="60">
        <v>44050</v>
      </c>
      <c r="B112" s="61" t="s">
        <v>867</v>
      </c>
      <c r="C112" s="62" t="s">
        <v>150</v>
      </c>
      <c r="D112" s="46" t="s">
        <v>861</v>
      </c>
      <c r="E112" s="58">
        <v>14000</v>
      </c>
      <c r="F112" s="46" t="s">
        <v>206</v>
      </c>
      <c r="G112" s="56" t="s">
        <v>107</v>
      </c>
      <c r="H112" s="56" t="s">
        <v>12</v>
      </c>
      <c r="I112" s="56" t="s">
        <v>108</v>
      </c>
      <c r="J112" s="56">
        <v>43703</v>
      </c>
      <c r="K112" s="59" t="s">
        <v>382</v>
      </c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  <c r="AE112" s="55"/>
    </row>
    <row r="113" spans="1:31" ht="15.75" customHeight="1">
      <c r="A113" s="60">
        <v>44050</v>
      </c>
      <c r="B113" s="61" t="s">
        <v>883</v>
      </c>
      <c r="C113" s="62" t="s">
        <v>150</v>
      </c>
      <c r="D113" s="46" t="s">
        <v>861</v>
      </c>
      <c r="E113" s="58">
        <v>9000</v>
      </c>
      <c r="F113" s="46" t="s">
        <v>113</v>
      </c>
      <c r="G113" s="56" t="s">
        <v>107</v>
      </c>
      <c r="H113" s="56" t="s">
        <v>12</v>
      </c>
      <c r="I113" s="56" t="s">
        <v>108</v>
      </c>
      <c r="J113" s="56">
        <v>43894</v>
      </c>
      <c r="K113" s="59" t="s">
        <v>302</v>
      </c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</row>
    <row r="114" spans="1:31" ht="15.75" customHeight="1">
      <c r="A114" s="60">
        <v>44050</v>
      </c>
      <c r="B114" s="64" t="s">
        <v>874</v>
      </c>
      <c r="C114" s="62" t="s">
        <v>150</v>
      </c>
      <c r="D114" s="46" t="s">
        <v>861</v>
      </c>
      <c r="E114" s="58">
        <v>20000</v>
      </c>
      <c r="F114" s="46" t="s">
        <v>220</v>
      </c>
      <c r="G114" s="56" t="s">
        <v>107</v>
      </c>
      <c r="H114" s="56" t="s">
        <v>12</v>
      </c>
      <c r="I114" s="56" t="s">
        <v>153</v>
      </c>
      <c r="J114" s="56">
        <v>43664</v>
      </c>
      <c r="K114" s="59" t="s">
        <v>382</v>
      </c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</row>
    <row r="115" spans="1:31" ht="15.75" customHeight="1">
      <c r="A115" s="56">
        <v>44053</v>
      </c>
      <c r="B115" s="57" t="s">
        <v>879</v>
      </c>
      <c r="C115" s="46" t="s">
        <v>150</v>
      </c>
      <c r="D115" s="46" t="s">
        <v>237</v>
      </c>
      <c r="E115" s="58">
        <v>0</v>
      </c>
      <c r="F115" s="46" t="s">
        <v>287</v>
      </c>
      <c r="G115" s="56" t="s">
        <v>107</v>
      </c>
      <c r="H115" s="56" t="s">
        <v>12</v>
      </c>
      <c r="I115" s="56" t="s">
        <v>108</v>
      </c>
      <c r="J115" s="56">
        <v>43738</v>
      </c>
      <c r="K115" s="59" t="s">
        <v>304</v>
      </c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</row>
    <row r="116" spans="1:31" ht="15.75" customHeight="1">
      <c r="A116" s="60">
        <v>44057</v>
      </c>
      <c r="B116" s="64" t="s">
        <v>882</v>
      </c>
      <c r="C116" s="62" t="s">
        <v>150</v>
      </c>
      <c r="D116" s="46" t="s">
        <v>861</v>
      </c>
      <c r="E116" s="58">
        <v>200000</v>
      </c>
      <c r="F116" s="46" t="s">
        <v>280</v>
      </c>
      <c r="G116" s="56" t="s">
        <v>107</v>
      </c>
      <c r="H116" s="56" t="s">
        <v>12</v>
      </c>
      <c r="I116" s="56" t="s">
        <v>108</v>
      </c>
      <c r="J116" s="56">
        <v>43717</v>
      </c>
      <c r="K116" s="59" t="s">
        <v>382</v>
      </c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</row>
    <row r="117" spans="1:31" ht="15.75" customHeight="1">
      <c r="A117" s="60">
        <v>44060</v>
      </c>
      <c r="B117" s="61" t="s">
        <v>888</v>
      </c>
      <c r="C117" s="62" t="s">
        <v>150</v>
      </c>
      <c r="D117" s="46" t="s">
        <v>861</v>
      </c>
      <c r="E117" s="58">
        <v>6300</v>
      </c>
      <c r="F117" s="46" t="s">
        <v>106</v>
      </c>
      <c r="G117" s="56" t="s">
        <v>107</v>
      </c>
      <c r="H117" s="56" t="s">
        <v>12</v>
      </c>
      <c r="I117" s="56" t="s">
        <v>108</v>
      </c>
      <c r="J117" s="56">
        <v>43564</v>
      </c>
      <c r="K117" s="59" t="s">
        <v>304</v>
      </c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</row>
    <row r="118" spans="1:31" ht="15.75" customHeight="1">
      <c r="A118" s="56">
        <v>44061</v>
      </c>
      <c r="B118" s="57" t="s">
        <v>864</v>
      </c>
      <c r="C118" s="46" t="s">
        <v>150</v>
      </c>
      <c r="D118" s="46" t="s">
        <v>237</v>
      </c>
      <c r="E118" s="58">
        <v>394570.05</v>
      </c>
      <c r="F118" s="46" t="s">
        <v>263</v>
      </c>
      <c r="G118" s="56" t="s">
        <v>107</v>
      </c>
      <c r="H118" s="56" t="s">
        <v>12</v>
      </c>
      <c r="I118" s="56" t="s">
        <v>108</v>
      </c>
      <c r="J118" s="56">
        <v>43700</v>
      </c>
      <c r="K118" s="59" t="s">
        <v>382</v>
      </c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  <c r="AB118" s="55"/>
      <c r="AC118" s="55"/>
      <c r="AD118" s="55"/>
      <c r="AE118" s="55"/>
    </row>
    <row r="119" spans="1:31" ht="15.75" customHeight="1">
      <c r="A119" s="60">
        <v>44061</v>
      </c>
      <c r="B119" s="61" t="s">
        <v>894</v>
      </c>
      <c r="C119" s="62" t="s">
        <v>150</v>
      </c>
      <c r="D119" s="46" t="s">
        <v>861</v>
      </c>
      <c r="E119" s="58">
        <v>7000</v>
      </c>
      <c r="F119" s="46" t="s">
        <v>268</v>
      </c>
      <c r="G119" s="56" t="s">
        <v>107</v>
      </c>
      <c r="H119" s="56" t="s">
        <v>12</v>
      </c>
      <c r="I119" s="56" t="s">
        <v>108</v>
      </c>
      <c r="J119" s="56">
        <v>43840</v>
      </c>
      <c r="K119" s="59" t="s">
        <v>302</v>
      </c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  <c r="AB119" s="55"/>
      <c r="AC119" s="55"/>
      <c r="AD119" s="55"/>
      <c r="AE119" s="55"/>
    </row>
    <row r="120" spans="1:31" ht="15.75" customHeight="1">
      <c r="A120" s="56">
        <v>44063</v>
      </c>
      <c r="B120" s="57" t="s">
        <v>906</v>
      </c>
      <c r="C120" s="46" t="s">
        <v>150</v>
      </c>
      <c r="D120" s="46" t="s">
        <v>237</v>
      </c>
      <c r="E120" s="58">
        <v>99216.1</v>
      </c>
      <c r="F120" s="46" t="s">
        <v>190</v>
      </c>
      <c r="G120" s="56" t="s">
        <v>107</v>
      </c>
      <c r="H120" s="56" t="s">
        <v>12</v>
      </c>
      <c r="I120" s="56" t="s">
        <v>108</v>
      </c>
      <c r="J120" s="56">
        <v>43675</v>
      </c>
      <c r="K120" s="59" t="s">
        <v>382</v>
      </c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  <c r="AB120" s="55"/>
      <c r="AC120" s="55"/>
      <c r="AD120" s="55"/>
      <c r="AE120" s="55"/>
    </row>
    <row r="121" spans="1:31" ht="15.75" customHeight="1">
      <c r="A121" s="60">
        <v>44068</v>
      </c>
      <c r="B121" s="61" t="s">
        <v>869</v>
      </c>
      <c r="C121" s="62" t="s">
        <v>150</v>
      </c>
      <c r="D121" s="46" t="s">
        <v>861</v>
      </c>
      <c r="E121" s="58">
        <v>130000</v>
      </c>
      <c r="F121" s="46" t="s">
        <v>101</v>
      </c>
      <c r="G121" s="56" t="s">
        <v>107</v>
      </c>
      <c r="H121" s="56" t="s">
        <v>12</v>
      </c>
      <c r="I121" s="56" t="s">
        <v>108</v>
      </c>
      <c r="J121" s="56">
        <v>43605</v>
      </c>
      <c r="K121" s="59" t="s">
        <v>302</v>
      </c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  <c r="AB121" s="55"/>
      <c r="AC121" s="55"/>
      <c r="AD121" s="55"/>
      <c r="AE121" s="55"/>
    </row>
    <row r="122" spans="1:31" ht="15.75" customHeight="1">
      <c r="A122" s="60">
        <v>44068</v>
      </c>
      <c r="B122" s="64" t="s">
        <v>875</v>
      </c>
      <c r="C122" s="62" t="s">
        <v>150</v>
      </c>
      <c r="D122" s="46" t="s">
        <v>861</v>
      </c>
      <c r="E122" s="58">
        <v>5000</v>
      </c>
      <c r="F122" s="46" t="s">
        <v>217</v>
      </c>
      <c r="G122" s="56" t="s">
        <v>107</v>
      </c>
      <c r="H122" s="56" t="s">
        <v>12</v>
      </c>
      <c r="I122" s="56" t="s">
        <v>153</v>
      </c>
      <c r="J122" s="56">
        <v>43559</v>
      </c>
      <c r="K122" s="59" t="s">
        <v>382</v>
      </c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  <c r="AB122" s="55"/>
      <c r="AC122" s="55"/>
      <c r="AD122" s="55"/>
      <c r="AE122" s="55"/>
    </row>
    <row r="123" spans="1:31" ht="15.75" customHeight="1">
      <c r="A123" s="60">
        <v>44069</v>
      </c>
      <c r="B123" s="61" t="s">
        <v>863</v>
      </c>
      <c r="C123" s="62" t="s">
        <v>14</v>
      </c>
      <c r="D123" s="46" t="s">
        <v>861</v>
      </c>
      <c r="E123" s="58">
        <v>1800</v>
      </c>
      <c r="F123" s="46" t="s">
        <v>514</v>
      </c>
      <c r="G123" s="46" t="s">
        <v>107</v>
      </c>
      <c r="H123" s="46" t="s">
        <v>12</v>
      </c>
      <c r="I123" s="46" t="s">
        <v>107</v>
      </c>
      <c r="J123" s="56">
        <v>43749</v>
      </c>
      <c r="K123" s="63" t="s">
        <v>382</v>
      </c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  <c r="AB123" s="55"/>
      <c r="AC123" s="55"/>
      <c r="AD123" s="55"/>
      <c r="AE123" s="55"/>
    </row>
    <row r="124" spans="1:31" ht="15.75" customHeight="1">
      <c r="A124" s="60">
        <v>44069</v>
      </c>
      <c r="B124" s="61" t="s">
        <v>867</v>
      </c>
      <c r="C124" s="62" t="s">
        <v>150</v>
      </c>
      <c r="D124" s="46" t="s">
        <v>861</v>
      </c>
      <c r="E124" s="58">
        <v>20000</v>
      </c>
      <c r="F124" s="46" t="s">
        <v>206</v>
      </c>
      <c r="G124" s="56" t="s">
        <v>107</v>
      </c>
      <c r="H124" s="56" t="s">
        <v>12</v>
      </c>
      <c r="I124" s="56" t="s">
        <v>108</v>
      </c>
      <c r="J124" s="56">
        <v>43703</v>
      </c>
      <c r="K124" s="59" t="s">
        <v>382</v>
      </c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  <c r="AB124" s="55"/>
      <c r="AC124" s="55"/>
      <c r="AD124" s="55"/>
      <c r="AE124" s="55"/>
    </row>
    <row r="125" spans="1:31" ht="15.75" customHeight="1">
      <c r="A125" s="60">
        <v>44074</v>
      </c>
      <c r="B125" s="61" t="s">
        <v>874</v>
      </c>
      <c r="C125" s="62" t="s">
        <v>150</v>
      </c>
      <c r="D125" s="46" t="s">
        <v>861</v>
      </c>
      <c r="E125" s="65">
        <v>150000</v>
      </c>
      <c r="F125" s="46" t="s">
        <v>220</v>
      </c>
      <c r="G125" s="56" t="s">
        <v>107</v>
      </c>
      <c r="H125" s="56" t="s">
        <v>12</v>
      </c>
      <c r="I125" s="56" t="s">
        <v>153</v>
      </c>
      <c r="J125" s="56">
        <v>43664</v>
      </c>
      <c r="K125" s="59" t="s">
        <v>382</v>
      </c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  <c r="AB125" s="55"/>
      <c r="AC125" s="55"/>
      <c r="AD125" s="55"/>
      <c r="AE125" s="55"/>
    </row>
    <row r="126" spans="1:31" ht="15.75" customHeight="1">
      <c r="A126" s="60">
        <v>44074</v>
      </c>
      <c r="B126" s="61" t="s">
        <v>869</v>
      </c>
      <c r="C126" s="62" t="s">
        <v>150</v>
      </c>
      <c r="D126" s="46" t="s">
        <v>861</v>
      </c>
      <c r="E126" s="58">
        <v>20000</v>
      </c>
      <c r="F126" s="46" t="s">
        <v>101</v>
      </c>
      <c r="G126" s="56" t="s">
        <v>107</v>
      </c>
      <c r="H126" s="56" t="s">
        <v>12</v>
      </c>
      <c r="I126" s="56" t="s">
        <v>108</v>
      </c>
      <c r="J126" s="56">
        <v>43605</v>
      </c>
      <c r="K126" s="59" t="s">
        <v>302</v>
      </c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</row>
    <row r="127" spans="1:31" ht="15.75" customHeight="1">
      <c r="A127" s="60">
        <v>44075</v>
      </c>
      <c r="B127" s="61" t="s">
        <v>894</v>
      </c>
      <c r="C127" s="62" t="s">
        <v>150</v>
      </c>
      <c r="D127" s="46" t="s">
        <v>861</v>
      </c>
      <c r="E127" s="58">
        <v>194670.06</v>
      </c>
      <c r="F127" s="46" t="s">
        <v>268</v>
      </c>
      <c r="G127" s="56" t="s">
        <v>107</v>
      </c>
      <c r="H127" s="56" t="s">
        <v>12</v>
      </c>
      <c r="I127" s="56" t="s">
        <v>108</v>
      </c>
      <c r="J127" s="56">
        <v>43840</v>
      </c>
      <c r="K127" s="59" t="s">
        <v>302</v>
      </c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  <c r="AE127" s="55"/>
    </row>
    <row r="128" spans="1:31" ht="15.75" customHeight="1">
      <c r="A128" s="60">
        <v>44078</v>
      </c>
      <c r="B128" s="64" t="s">
        <v>907</v>
      </c>
      <c r="C128" s="62" t="s">
        <v>150</v>
      </c>
      <c r="D128" s="46" t="s">
        <v>861</v>
      </c>
      <c r="E128" s="65">
        <v>5000</v>
      </c>
      <c r="F128" s="46" t="s">
        <v>112</v>
      </c>
      <c r="G128" s="56" t="s">
        <v>107</v>
      </c>
      <c r="H128" s="56" t="s">
        <v>12</v>
      </c>
      <c r="I128" s="56" t="s">
        <v>153</v>
      </c>
      <c r="J128" s="56">
        <v>43564</v>
      </c>
      <c r="K128" s="59" t="s">
        <v>295</v>
      </c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  <c r="AC128" s="55"/>
      <c r="AD128" s="55"/>
      <c r="AE128" s="55"/>
    </row>
    <row r="129" spans="1:31" ht="15.75" customHeight="1">
      <c r="A129" s="60">
        <v>44082</v>
      </c>
      <c r="B129" s="61" t="s">
        <v>875</v>
      </c>
      <c r="C129" s="62" t="s">
        <v>150</v>
      </c>
      <c r="D129" s="46" t="s">
        <v>861</v>
      </c>
      <c r="E129" s="58">
        <v>14000</v>
      </c>
      <c r="F129" s="46" t="s">
        <v>217</v>
      </c>
      <c r="G129" s="56" t="s">
        <v>107</v>
      </c>
      <c r="H129" s="56" t="s">
        <v>12</v>
      </c>
      <c r="I129" s="56" t="s">
        <v>153</v>
      </c>
      <c r="J129" s="56">
        <v>43559</v>
      </c>
      <c r="K129" s="59" t="s">
        <v>382</v>
      </c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</row>
    <row r="130" spans="1:31" ht="15.75" customHeight="1">
      <c r="A130" s="60">
        <v>44082</v>
      </c>
      <c r="B130" s="61" t="s">
        <v>872</v>
      </c>
      <c r="C130" s="62" t="s">
        <v>14</v>
      </c>
      <c r="D130" s="46" t="s">
        <v>861</v>
      </c>
      <c r="E130" s="58">
        <v>20000</v>
      </c>
      <c r="F130" s="46" t="s">
        <v>457</v>
      </c>
      <c r="G130" s="46" t="s">
        <v>107</v>
      </c>
      <c r="H130" s="46" t="s">
        <v>12</v>
      </c>
      <c r="I130" s="46" t="s">
        <v>107</v>
      </c>
      <c r="J130" s="56">
        <v>44252</v>
      </c>
      <c r="K130" s="63" t="s">
        <v>302</v>
      </c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</row>
    <row r="131" spans="1:31" ht="15.75" customHeight="1">
      <c r="A131" s="60">
        <v>44083</v>
      </c>
      <c r="B131" s="64" t="s">
        <v>893</v>
      </c>
      <c r="C131" s="62" t="s">
        <v>150</v>
      </c>
      <c r="D131" s="46" t="s">
        <v>861</v>
      </c>
      <c r="E131" s="58">
        <v>85486</v>
      </c>
      <c r="F131" s="46" t="s">
        <v>200</v>
      </c>
      <c r="G131" s="56" t="s">
        <v>107</v>
      </c>
      <c r="H131" s="56" t="s">
        <v>12</v>
      </c>
      <c r="I131" s="56" t="s">
        <v>108</v>
      </c>
      <c r="J131" s="56">
        <v>43888</v>
      </c>
      <c r="K131" s="59" t="s">
        <v>298</v>
      </c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</row>
    <row r="132" spans="1:31" ht="15.75" customHeight="1">
      <c r="A132" s="60">
        <v>44084</v>
      </c>
      <c r="B132" s="61" t="s">
        <v>908</v>
      </c>
      <c r="C132" s="62" t="s">
        <v>150</v>
      </c>
      <c r="D132" s="46" t="s">
        <v>861</v>
      </c>
      <c r="E132" s="65">
        <v>3350000</v>
      </c>
      <c r="F132" s="46" t="s">
        <v>97</v>
      </c>
      <c r="G132" s="56" t="s">
        <v>107</v>
      </c>
      <c r="H132" s="56" t="s">
        <v>12</v>
      </c>
      <c r="I132" s="56" t="s">
        <v>153</v>
      </c>
      <c r="J132" s="56">
        <v>43903</v>
      </c>
      <c r="K132" s="59" t="s">
        <v>298</v>
      </c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  <c r="AB132" s="55"/>
      <c r="AC132" s="55"/>
      <c r="AD132" s="55"/>
      <c r="AE132" s="55"/>
    </row>
    <row r="133" spans="1:31" ht="15.75" customHeight="1">
      <c r="A133" s="56">
        <v>44085</v>
      </c>
      <c r="B133" s="66" t="s">
        <v>909</v>
      </c>
      <c r="C133" s="46" t="s">
        <v>14</v>
      </c>
      <c r="D133" s="46" t="s">
        <v>237</v>
      </c>
      <c r="E133" s="58">
        <v>0</v>
      </c>
      <c r="F133" s="46" t="s">
        <v>187</v>
      </c>
      <c r="G133" s="46" t="s">
        <v>107</v>
      </c>
      <c r="H133" s="46" t="s">
        <v>12</v>
      </c>
      <c r="I133" s="46" t="s">
        <v>107</v>
      </c>
      <c r="J133" s="56">
        <v>44043</v>
      </c>
      <c r="K133" s="63" t="s">
        <v>298</v>
      </c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55"/>
      <c r="AC133" s="55"/>
      <c r="AD133" s="55"/>
      <c r="AE133" s="55"/>
    </row>
    <row r="134" spans="1:31" ht="15.75" customHeight="1">
      <c r="A134" s="60">
        <v>44085</v>
      </c>
      <c r="B134" s="61" t="s">
        <v>910</v>
      </c>
      <c r="C134" s="62" t="s">
        <v>14</v>
      </c>
      <c r="D134" s="46" t="s">
        <v>861</v>
      </c>
      <c r="E134" s="58">
        <v>277581.55</v>
      </c>
      <c r="F134" s="46" t="s">
        <v>487</v>
      </c>
      <c r="G134" s="46" t="s">
        <v>107</v>
      </c>
      <c r="H134" s="46" t="s">
        <v>12</v>
      </c>
      <c r="I134" s="46" t="s">
        <v>107</v>
      </c>
      <c r="J134" s="56">
        <v>44068</v>
      </c>
      <c r="K134" s="63" t="s">
        <v>298</v>
      </c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</row>
    <row r="135" spans="1:31" ht="15.75" customHeight="1">
      <c r="A135" s="60">
        <v>44085</v>
      </c>
      <c r="B135" s="61" t="s">
        <v>909</v>
      </c>
      <c r="C135" s="62" t="s">
        <v>14</v>
      </c>
      <c r="D135" s="46" t="s">
        <v>54</v>
      </c>
      <c r="E135" s="58">
        <v>110000</v>
      </c>
      <c r="F135" s="46" t="s">
        <v>187</v>
      </c>
      <c r="G135" s="46" t="s">
        <v>107</v>
      </c>
      <c r="H135" s="46" t="s">
        <v>12</v>
      </c>
      <c r="I135" s="46" t="s">
        <v>107</v>
      </c>
      <c r="J135" s="56">
        <v>44043</v>
      </c>
      <c r="K135" s="63" t="s">
        <v>298</v>
      </c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</row>
    <row r="136" spans="1:31" ht="15.75" customHeight="1">
      <c r="A136" s="56">
        <v>44086</v>
      </c>
      <c r="B136" s="57" t="s">
        <v>884</v>
      </c>
      <c r="C136" s="46" t="s">
        <v>150</v>
      </c>
      <c r="D136" s="46" t="s">
        <v>237</v>
      </c>
      <c r="E136" s="58">
        <v>0</v>
      </c>
      <c r="F136" s="46" t="s">
        <v>187</v>
      </c>
      <c r="G136" s="56" t="s">
        <v>107</v>
      </c>
      <c r="H136" s="56" t="s">
        <v>12</v>
      </c>
      <c r="I136" s="56" t="s">
        <v>153</v>
      </c>
      <c r="J136" s="56">
        <v>43913</v>
      </c>
      <c r="K136" s="59" t="s">
        <v>298</v>
      </c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</row>
    <row r="137" spans="1:31" ht="15.75" customHeight="1">
      <c r="A137" s="60">
        <v>44088</v>
      </c>
      <c r="B137" s="64" t="s">
        <v>872</v>
      </c>
      <c r="C137" s="62" t="s">
        <v>14</v>
      </c>
      <c r="D137" s="46" t="s">
        <v>861</v>
      </c>
      <c r="E137" s="58">
        <v>27000</v>
      </c>
      <c r="F137" s="46" t="s">
        <v>457</v>
      </c>
      <c r="G137" s="46" t="s">
        <v>107</v>
      </c>
      <c r="H137" s="46" t="s">
        <v>12</v>
      </c>
      <c r="I137" s="46" t="s">
        <v>107</v>
      </c>
      <c r="J137" s="56">
        <v>44252</v>
      </c>
      <c r="K137" s="63" t="s">
        <v>302</v>
      </c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</row>
    <row r="138" spans="1:31" ht="15.75" customHeight="1">
      <c r="A138" s="60">
        <v>44088</v>
      </c>
      <c r="B138" s="61" t="s">
        <v>868</v>
      </c>
      <c r="C138" s="62" t="s">
        <v>150</v>
      </c>
      <c r="D138" s="46" t="s">
        <v>861</v>
      </c>
      <c r="E138" s="58">
        <v>50000</v>
      </c>
      <c r="F138" s="46" t="s">
        <v>292</v>
      </c>
      <c r="G138" s="56" t="s">
        <v>107</v>
      </c>
      <c r="H138" s="56" t="s">
        <v>12</v>
      </c>
      <c r="I138" s="56" t="s">
        <v>108</v>
      </c>
      <c r="J138" s="56">
        <v>43567</v>
      </c>
      <c r="K138" s="59" t="s">
        <v>298</v>
      </c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</row>
    <row r="139" spans="1:31" ht="15.75" customHeight="1">
      <c r="A139" s="60">
        <v>44089</v>
      </c>
      <c r="B139" s="61" t="s">
        <v>881</v>
      </c>
      <c r="C139" s="62" t="s">
        <v>150</v>
      </c>
      <c r="D139" s="46" t="s">
        <v>861</v>
      </c>
      <c r="E139" s="58">
        <v>7000</v>
      </c>
      <c r="F139" s="46" t="s">
        <v>256</v>
      </c>
      <c r="G139" s="56" t="s">
        <v>107</v>
      </c>
      <c r="H139" s="56" t="s">
        <v>12</v>
      </c>
      <c r="I139" s="56" t="s">
        <v>108</v>
      </c>
      <c r="J139" s="56">
        <v>43699</v>
      </c>
      <c r="K139" s="59" t="s">
        <v>382</v>
      </c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</row>
    <row r="140" spans="1:31" ht="15.75" customHeight="1">
      <c r="A140" s="60">
        <v>44089</v>
      </c>
      <c r="B140" s="61" t="s">
        <v>888</v>
      </c>
      <c r="C140" s="62" t="s">
        <v>150</v>
      </c>
      <c r="D140" s="46" t="s">
        <v>861</v>
      </c>
      <c r="E140" s="58">
        <v>14000</v>
      </c>
      <c r="F140" s="46" t="s">
        <v>106</v>
      </c>
      <c r="G140" s="56" t="s">
        <v>107</v>
      </c>
      <c r="H140" s="56" t="s">
        <v>12</v>
      </c>
      <c r="I140" s="56" t="s">
        <v>108</v>
      </c>
      <c r="J140" s="56">
        <v>43564</v>
      </c>
      <c r="K140" s="59" t="s">
        <v>304</v>
      </c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</row>
    <row r="141" spans="1:31" ht="15.75" customHeight="1">
      <c r="A141" s="60">
        <v>44089</v>
      </c>
      <c r="B141" s="64" t="s">
        <v>911</v>
      </c>
      <c r="C141" s="62" t="s">
        <v>150</v>
      </c>
      <c r="D141" s="46" t="s">
        <v>861</v>
      </c>
      <c r="E141" s="58">
        <v>50000</v>
      </c>
      <c r="F141" s="46" t="s">
        <v>276</v>
      </c>
      <c r="G141" s="56" t="s">
        <v>107</v>
      </c>
      <c r="H141" s="56" t="s">
        <v>12</v>
      </c>
      <c r="I141" s="56" t="s">
        <v>108</v>
      </c>
      <c r="J141" s="56">
        <v>44041</v>
      </c>
      <c r="K141" s="59" t="s">
        <v>298</v>
      </c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</row>
    <row r="142" spans="1:31" ht="15.75" customHeight="1">
      <c r="A142" s="56">
        <v>44091</v>
      </c>
      <c r="B142" s="57" t="s">
        <v>912</v>
      </c>
      <c r="C142" s="46" t="s">
        <v>14</v>
      </c>
      <c r="D142" s="46" t="s">
        <v>237</v>
      </c>
      <c r="E142" s="58">
        <v>0</v>
      </c>
      <c r="F142" s="46" t="s">
        <v>426</v>
      </c>
      <c r="G142" s="46" t="s">
        <v>107</v>
      </c>
      <c r="H142" s="46" t="s">
        <v>12</v>
      </c>
      <c r="I142" s="46" t="s">
        <v>107</v>
      </c>
      <c r="J142" s="56">
        <v>43696</v>
      </c>
      <c r="K142" s="63" t="s">
        <v>298</v>
      </c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</row>
    <row r="143" spans="1:31" ht="15.75" customHeight="1">
      <c r="A143" s="60">
        <v>44091</v>
      </c>
      <c r="B143" s="61" t="s">
        <v>912</v>
      </c>
      <c r="C143" s="62" t="s">
        <v>14</v>
      </c>
      <c r="D143" s="46" t="s">
        <v>54</v>
      </c>
      <c r="E143" s="58">
        <v>6400</v>
      </c>
      <c r="F143" s="46" t="s">
        <v>426</v>
      </c>
      <c r="G143" s="46" t="s">
        <v>107</v>
      </c>
      <c r="H143" s="46" t="s">
        <v>12</v>
      </c>
      <c r="I143" s="46" t="s">
        <v>107</v>
      </c>
      <c r="J143" s="56">
        <v>43696</v>
      </c>
      <c r="K143" s="63" t="s">
        <v>298</v>
      </c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</row>
    <row r="144" spans="1:31" ht="15.75" customHeight="1">
      <c r="A144" s="60">
        <v>44096</v>
      </c>
      <c r="B144" s="64" t="s">
        <v>910</v>
      </c>
      <c r="C144" s="62" t="s">
        <v>14</v>
      </c>
      <c r="D144" s="46" t="s">
        <v>861</v>
      </c>
      <c r="E144" s="58">
        <v>0</v>
      </c>
      <c r="F144" s="46" t="s">
        <v>487</v>
      </c>
      <c r="G144" s="46" t="s">
        <v>107</v>
      </c>
      <c r="H144" s="46" t="s">
        <v>12</v>
      </c>
      <c r="I144" s="46" t="s">
        <v>107</v>
      </c>
      <c r="J144" s="56">
        <v>44068</v>
      </c>
      <c r="K144" s="63" t="s">
        <v>298</v>
      </c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</row>
    <row r="145" spans="1:31" ht="15.75" customHeight="1">
      <c r="A145" s="60">
        <v>44096</v>
      </c>
      <c r="B145" s="61" t="s">
        <v>913</v>
      </c>
      <c r="C145" s="62" t="s">
        <v>150</v>
      </c>
      <c r="D145" s="46" t="s">
        <v>861</v>
      </c>
      <c r="E145" s="58">
        <v>27000</v>
      </c>
      <c r="F145" s="46" t="s">
        <v>224</v>
      </c>
      <c r="G145" s="56" t="s">
        <v>107</v>
      </c>
      <c r="H145" s="56" t="s">
        <v>12</v>
      </c>
      <c r="I145" s="56" t="s">
        <v>108</v>
      </c>
      <c r="J145" s="56">
        <v>43711</v>
      </c>
      <c r="K145" s="59" t="s">
        <v>382</v>
      </c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</row>
    <row r="146" spans="1:31" ht="15.75" customHeight="1">
      <c r="A146" s="60">
        <v>44097</v>
      </c>
      <c r="B146" s="61" t="s">
        <v>914</v>
      </c>
      <c r="C146" s="62" t="s">
        <v>14</v>
      </c>
      <c r="D146" s="46" t="s">
        <v>861</v>
      </c>
      <c r="E146" s="58">
        <v>9000</v>
      </c>
      <c r="F146" s="46" t="s">
        <v>508</v>
      </c>
      <c r="G146" s="46" t="s">
        <v>107</v>
      </c>
      <c r="H146" s="46" t="s">
        <v>12</v>
      </c>
      <c r="I146" s="46" t="s">
        <v>107</v>
      </c>
      <c r="J146" s="56">
        <v>44043</v>
      </c>
      <c r="K146" s="63" t="s">
        <v>298</v>
      </c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</row>
    <row r="147" spans="1:31" ht="15.75" customHeight="1">
      <c r="A147" s="60">
        <v>44099</v>
      </c>
      <c r="B147" s="64" t="s">
        <v>875</v>
      </c>
      <c r="C147" s="62" t="s">
        <v>150</v>
      </c>
      <c r="D147" s="46" t="s">
        <v>861</v>
      </c>
      <c r="E147" s="58">
        <v>20000</v>
      </c>
      <c r="F147" s="46" t="s">
        <v>217</v>
      </c>
      <c r="G147" s="56" t="s">
        <v>107</v>
      </c>
      <c r="H147" s="56" t="s">
        <v>12</v>
      </c>
      <c r="I147" s="56" t="s">
        <v>153</v>
      </c>
      <c r="J147" s="56">
        <v>43559</v>
      </c>
      <c r="K147" s="59" t="s">
        <v>382</v>
      </c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</row>
    <row r="148" spans="1:31" ht="15.75" customHeight="1">
      <c r="A148" s="60">
        <v>44099</v>
      </c>
      <c r="B148" s="61" t="s">
        <v>869</v>
      </c>
      <c r="C148" s="62" t="s">
        <v>150</v>
      </c>
      <c r="D148" s="46" t="s">
        <v>861</v>
      </c>
      <c r="E148" s="58">
        <v>25000</v>
      </c>
      <c r="F148" s="46" t="s">
        <v>101</v>
      </c>
      <c r="G148" s="56" t="s">
        <v>107</v>
      </c>
      <c r="H148" s="56" t="s">
        <v>12</v>
      </c>
      <c r="I148" s="56" t="s">
        <v>108</v>
      </c>
      <c r="J148" s="56">
        <v>43605</v>
      </c>
      <c r="K148" s="59" t="s">
        <v>302</v>
      </c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</row>
    <row r="149" spans="1:31" ht="15.75" customHeight="1">
      <c r="A149" s="60">
        <v>44102</v>
      </c>
      <c r="B149" s="64" t="s">
        <v>863</v>
      </c>
      <c r="C149" s="62" t="s">
        <v>14</v>
      </c>
      <c r="D149" s="46" t="s">
        <v>861</v>
      </c>
      <c r="E149" s="58">
        <v>10000</v>
      </c>
      <c r="F149" s="46" t="s">
        <v>514</v>
      </c>
      <c r="G149" s="46" t="s">
        <v>107</v>
      </c>
      <c r="H149" s="46" t="s">
        <v>12</v>
      </c>
      <c r="I149" s="46" t="s">
        <v>107</v>
      </c>
      <c r="J149" s="56">
        <v>43749</v>
      </c>
      <c r="K149" s="63" t="s">
        <v>382</v>
      </c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</row>
    <row r="150" spans="1:31" ht="15.75" customHeight="1">
      <c r="A150" s="60">
        <v>44103</v>
      </c>
      <c r="B150" s="61" t="s">
        <v>874</v>
      </c>
      <c r="C150" s="62" t="s">
        <v>150</v>
      </c>
      <c r="D150" s="46" t="s">
        <v>861</v>
      </c>
      <c r="E150" s="58">
        <v>10000</v>
      </c>
      <c r="F150" s="46" t="s">
        <v>220</v>
      </c>
      <c r="G150" s="56" t="s">
        <v>107</v>
      </c>
      <c r="H150" s="56" t="s">
        <v>12</v>
      </c>
      <c r="I150" s="56" t="s">
        <v>153</v>
      </c>
      <c r="J150" s="56">
        <v>43664</v>
      </c>
      <c r="K150" s="59" t="s">
        <v>382</v>
      </c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</row>
    <row r="151" spans="1:31" ht="15.75" customHeight="1">
      <c r="A151" s="60">
        <v>44103</v>
      </c>
      <c r="B151" s="64" t="s">
        <v>136</v>
      </c>
      <c r="C151" s="62" t="s">
        <v>120</v>
      </c>
      <c r="D151" s="46" t="s">
        <v>54</v>
      </c>
      <c r="E151" s="58">
        <v>7000</v>
      </c>
      <c r="F151" s="46" t="s">
        <v>915</v>
      </c>
      <c r="G151" s="56" t="s">
        <v>11</v>
      </c>
      <c r="H151" s="56" t="s">
        <v>12</v>
      </c>
      <c r="I151" s="56" t="s">
        <v>137</v>
      </c>
      <c r="J151" s="56">
        <v>43742</v>
      </c>
      <c r="K151" s="59" t="s">
        <v>382</v>
      </c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</row>
    <row r="152" spans="1:31" ht="15.75" customHeight="1">
      <c r="A152" s="60">
        <v>44103</v>
      </c>
      <c r="B152" s="61" t="s">
        <v>916</v>
      </c>
      <c r="C152" s="62" t="s">
        <v>150</v>
      </c>
      <c r="D152" s="46" t="s">
        <v>861</v>
      </c>
      <c r="E152" s="58">
        <v>10000</v>
      </c>
      <c r="F152" s="46" t="s">
        <v>173</v>
      </c>
      <c r="G152" s="56" t="s">
        <v>107</v>
      </c>
      <c r="H152" s="56" t="s">
        <v>12</v>
      </c>
      <c r="I152" s="56" t="s">
        <v>108</v>
      </c>
      <c r="J152" s="56">
        <v>43707</v>
      </c>
      <c r="K152" s="59" t="s">
        <v>304</v>
      </c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</row>
    <row r="153" spans="1:31" ht="15.75" customHeight="1">
      <c r="A153" s="60">
        <v>44103</v>
      </c>
      <c r="B153" s="61" t="s">
        <v>917</v>
      </c>
      <c r="C153" s="62" t="s">
        <v>14</v>
      </c>
      <c r="D153" s="46" t="s">
        <v>861</v>
      </c>
      <c r="E153" s="58">
        <v>4000</v>
      </c>
      <c r="F153" s="46" t="s">
        <v>435</v>
      </c>
      <c r="G153" s="46" t="s">
        <v>107</v>
      </c>
      <c r="H153" s="46" t="s">
        <v>12</v>
      </c>
      <c r="I153" s="46" t="s">
        <v>107</v>
      </c>
      <c r="J153" s="56">
        <v>43901</v>
      </c>
      <c r="K153" s="63" t="s">
        <v>295</v>
      </c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</row>
    <row r="154" spans="1:31" ht="15.75" customHeight="1">
      <c r="A154" s="60">
        <v>44103</v>
      </c>
      <c r="B154" s="61" t="s">
        <v>867</v>
      </c>
      <c r="C154" s="62" t="s">
        <v>150</v>
      </c>
      <c r="D154" s="46" t="s">
        <v>861</v>
      </c>
      <c r="E154" s="58">
        <v>6000</v>
      </c>
      <c r="F154" s="46" t="s">
        <v>206</v>
      </c>
      <c r="G154" s="56" t="s">
        <v>107</v>
      </c>
      <c r="H154" s="56" t="s">
        <v>12</v>
      </c>
      <c r="I154" s="56" t="s">
        <v>108</v>
      </c>
      <c r="J154" s="56">
        <v>43703</v>
      </c>
      <c r="K154" s="59" t="s">
        <v>382</v>
      </c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</row>
    <row r="155" spans="1:31" ht="15.75" customHeight="1">
      <c r="A155" s="60">
        <v>44103</v>
      </c>
      <c r="B155" s="64" t="s">
        <v>860</v>
      </c>
      <c r="C155" s="62" t="s">
        <v>150</v>
      </c>
      <c r="D155" s="46" t="s">
        <v>861</v>
      </c>
      <c r="E155" s="58">
        <v>1500</v>
      </c>
      <c r="F155" s="46" t="s">
        <v>270</v>
      </c>
      <c r="G155" s="56" t="s">
        <v>107</v>
      </c>
      <c r="H155" s="56" t="s">
        <v>12</v>
      </c>
      <c r="I155" s="56" t="s">
        <v>108</v>
      </c>
      <c r="J155" s="56">
        <v>43675</v>
      </c>
      <c r="K155" s="59" t="s">
        <v>382</v>
      </c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</row>
    <row r="156" spans="1:31" ht="15.75" customHeight="1">
      <c r="A156" s="56">
        <v>44105</v>
      </c>
      <c r="B156" s="57" t="s">
        <v>881</v>
      </c>
      <c r="C156" s="46" t="s">
        <v>150</v>
      </c>
      <c r="D156" s="46" t="s">
        <v>237</v>
      </c>
      <c r="E156" s="58">
        <v>17805.25</v>
      </c>
      <c r="F156" s="46" t="s">
        <v>256</v>
      </c>
      <c r="G156" s="56" t="s">
        <v>107</v>
      </c>
      <c r="H156" s="56" t="s">
        <v>12</v>
      </c>
      <c r="I156" s="56" t="s">
        <v>108</v>
      </c>
      <c r="J156" s="56">
        <v>43699</v>
      </c>
      <c r="K156" s="59" t="s">
        <v>382</v>
      </c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</row>
    <row r="157" spans="1:31" ht="15.75" customHeight="1">
      <c r="A157" s="56">
        <v>44105</v>
      </c>
      <c r="B157" s="66" t="s">
        <v>900</v>
      </c>
      <c r="C157" s="46" t="s">
        <v>14</v>
      </c>
      <c r="D157" s="46" t="s">
        <v>237</v>
      </c>
      <c r="E157" s="58">
        <v>0</v>
      </c>
      <c r="F157" s="46" t="s">
        <v>233</v>
      </c>
      <c r="G157" s="46" t="s">
        <v>107</v>
      </c>
      <c r="H157" s="46" t="s">
        <v>12</v>
      </c>
      <c r="I157" s="46" t="s">
        <v>107</v>
      </c>
      <c r="J157" s="56">
        <v>43700</v>
      </c>
      <c r="K157" s="63" t="s">
        <v>298</v>
      </c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</row>
    <row r="158" spans="1:31" ht="15.75" customHeight="1">
      <c r="A158" s="56">
        <v>44105</v>
      </c>
      <c r="B158" s="57" t="s">
        <v>918</v>
      </c>
      <c r="C158" s="46" t="s">
        <v>14</v>
      </c>
      <c r="D158" s="46" t="s">
        <v>237</v>
      </c>
      <c r="E158" s="58">
        <v>0</v>
      </c>
      <c r="F158" s="46" t="s">
        <v>535</v>
      </c>
      <c r="G158" s="46" t="s">
        <v>11</v>
      </c>
      <c r="H158" s="46" t="s">
        <v>12</v>
      </c>
      <c r="I158" s="46" t="s">
        <v>536</v>
      </c>
      <c r="J158" s="56">
        <v>43777</v>
      </c>
      <c r="K158" s="63" t="s">
        <v>448</v>
      </c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</row>
    <row r="159" spans="1:31" ht="15.75" customHeight="1">
      <c r="A159" s="60">
        <v>44105</v>
      </c>
      <c r="B159" s="61" t="s">
        <v>894</v>
      </c>
      <c r="C159" s="62" t="s">
        <v>150</v>
      </c>
      <c r="D159" s="46" t="s">
        <v>861</v>
      </c>
      <c r="E159" s="58">
        <v>20000</v>
      </c>
      <c r="F159" s="46" t="s">
        <v>268</v>
      </c>
      <c r="G159" s="56" t="s">
        <v>107</v>
      </c>
      <c r="H159" s="56" t="s">
        <v>12</v>
      </c>
      <c r="I159" s="56" t="s">
        <v>108</v>
      </c>
      <c r="J159" s="56">
        <v>43840</v>
      </c>
      <c r="K159" s="59" t="s">
        <v>302</v>
      </c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</row>
    <row r="160" spans="1:31" ht="15.75" customHeight="1">
      <c r="A160" s="56">
        <v>44109</v>
      </c>
      <c r="B160" s="66" t="s">
        <v>919</v>
      </c>
      <c r="C160" s="46" t="s">
        <v>150</v>
      </c>
      <c r="D160" s="46" t="s">
        <v>237</v>
      </c>
      <c r="E160" s="58">
        <v>379116.63</v>
      </c>
      <c r="F160" s="46" t="s">
        <v>260</v>
      </c>
      <c r="G160" s="56" t="s">
        <v>104</v>
      </c>
      <c r="H160" s="56" t="s">
        <v>12</v>
      </c>
      <c r="I160" s="56" t="s">
        <v>104</v>
      </c>
      <c r="J160" s="56">
        <v>43426</v>
      </c>
      <c r="K160" s="59" t="s">
        <v>304</v>
      </c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</row>
    <row r="161" spans="1:31" ht="15.75" customHeight="1">
      <c r="A161" s="60">
        <v>44109</v>
      </c>
      <c r="B161" s="61" t="s">
        <v>910</v>
      </c>
      <c r="C161" s="62" t="s">
        <v>14</v>
      </c>
      <c r="D161" s="46" t="s">
        <v>861</v>
      </c>
      <c r="E161" s="58">
        <v>10000</v>
      </c>
      <c r="F161" s="46" t="s">
        <v>487</v>
      </c>
      <c r="G161" s="46" t="s">
        <v>107</v>
      </c>
      <c r="H161" s="46" t="s">
        <v>12</v>
      </c>
      <c r="I161" s="46" t="s">
        <v>107</v>
      </c>
      <c r="J161" s="56">
        <v>44068</v>
      </c>
      <c r="K161" s="63" t="s">
        <v>298</v>
      </c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</row>
    <row r="162" spans="1:31" ht="15.75" customHeight="1">
      <c r="A162" s="60">
        <v>44109</v>
      </c>
      <c r="B162" s="61" t="s">
        <v>869</v>
      </c>
      <c r="C162" s="62" t="s">
        <v>150</v>
      </c>
      <c r="D162" s="46" t="s">
        <v>861</v>
      </c>
      <c r="E162" s="58">
        <v>10000</v>
      </c>
      <c r="F162" s="46" t="s">
        <v>101</v>
      </c>
      <c r="G162" s="56" t="s">
        <v>107</v>
      </c>
      <c r="H162" s="56" t="s">
        <v>12</v>
      </c>
      <c r="I162" s="56" t="s">
        <v>108</v>
      </c>
      <c r="J162" s="56">
        <v>43605</v>
      </c>
      <c r="K162" s="59" t="s">
        <v>302</v>
      </c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</row>
    <row r="163" spans="1:31" ht="15.75" customHeight="1">
      <c r="A163" s="60">
        <v>44109</v>
      </c>
      <c r="B163" s="61" t="s">
        <v>888</v>
      </c>
      <c r="C163" s="62" t="s">
        <v>150</v>
      </c>
      <c r="D163" s="46" t="s">
        <v>861</v>
      </c>
      <c r="E163" s="58">
        <v>14000</v>
      </c>
      <c r="F163" s="46" t="s">
        <v>106</v>
      </c>
      <c r="G163" s="56" t="s">
        <v>107</v>
      </c>
      <c r="H163" s="56" t="s">
        <v>12</v>
      </c>
      <c r="I163" s="56" t="s">
        <v>108</v>
      </c>
      <c r="J163" s="56">
        <v>43564</v>
      </c>
      <c r="K163" s="59" t="s">
        <v>304</v>
      </c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</row>
    <row r="164" spans="1:31" ht="15.75" customHeight="1">
      <c r="A164" s="60">
        <v>44119</v>
      </c>
      <c r="B164" s="61" t="s">
        <v>882</v>
      </c>
      <c r="C164" s="62" t="s">
        <v>150</v>
      </c>
      <c r="D164" s="46" t="s">
        <v>861</v>
      </c>
      <c r="E164" s="58">
        <v>7000</v>
      </c>
      <c r="F164" s="46" t="s">
        <v>280</v>
      </c>
      <c r="G164" s="56" t="s">
        <v>107</v>
      </c>
      <c r="H164" s="56" t="s">
        <v>12</v>
      </c>
      <c r="I164" s="56" t="s">
        <v>108</v>
      </c>
      <c r="J164" s="56">
        <v>43717</v>
      </c>
      <c r="K164" s="59" t="s">
        <v>382</v>
      </c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</row>
    <row r="165" spans="1:31" ht="15.75" customHeight="1">
      <c r="A165" s="60">
        <v>44120</v>
      </c>
      <c r="B165" s="64" t="s">
        <v>910</v>
      </c>
      <c r="C165" s="62" t="s">
        <v>14</v>
      </c>
      <c r="D165" s="46" t="s">
        <v>861</v>
      </c>
      <c r="E165" s="58">
        <v>8000</v>
      </c>
      <c r="F165" s="46" t="s">
        <v>487</v>
      </c>
      <c r="G165" s="46" t="s">
        <v>107</v>
      </c>
      <c r="H165" s="46" t="s">
        <v>12</v>
      </c>
      <c r="I165" s="46" t="s">
        <v>107</v>
      </c>
      <c r="J165" s="56">
        <v>44068</v>
      </c>
      <c r="K165" s="63" t="s">
        <v>298</v>
      </c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</row>
    <row r="166" spans="1:31" ht="15.75" customHeight="1">
      <c r="A166" s="60">
        <v>44124</v>
      </c>
      <c r="B166" s="61" t="s">
        <v>883</v>
      </c>
      <c r="C166" s="62" t="s">
        <v>150</v>
      </c>
      <c r="D166" s="46" t="s">
        <v>861</v>
      </c>
      <c r="E166" s="58">
        <v>140000</v>
      </c>
      <c r="F166" s="46" t="s">
        <v>113</v>
      </c>
      <c r="G166" s="56" t="s">
        <v>107</v>
      </c>
      <c r="H166" s="56" t="s">
        <v>12</v>
      </c>
      <c r="I166" s="56" t="s">
        <v>108</v>
      </c>
      <c r="J166" s="56">
        <v>43894</v>
      </c>
      <c r="K166" s="59" t="s">
        <v>302</v>
      </c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</row>
    <row r="167" spans="1:31" ht="15.75" customHeight="1">
      <c r="A167" s="60">
        <v>44124</v>
      </c>
      <c r="B167" s="61" t="s">
        <v>920</v>
      </c>
      <c r="C167" s="62" t="s">
        <v>150</v>
      </c>
      <c r="D167" s="46" t="s">
        <v>861</v>
      </c>
      <c r="E167" s="58">
        <v>10000</v>
      </c>
      <c r="F167" s="46" t="s">
        <v>248</v>
      </c>
      <c r="G167" s="56" t="s">
        <v>107</v>
      </c>
      <c r="H167" s="56" t="s">
        <v>12</v>
      </c>
      <c r="I167" s="56" t="s">
        <v>153</v>
      </c>
      <c r="J167" s="56">
        <v>43622</v>
      </c>
      <c r="K167" s="59" t="s">
        <v>302</v>
      </c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</row>
    <row r="168" spans="1:31" ht="15.75" customHeight="1">
      <c r="A168" s="60">
        <v>44125</v>
      </c>
      <c r="B168" s="61" t="s">
        <v>872</v>
      </c>
      <c r="C168" s="62" t="s">
        <v>14</v>
      </c>
      <c r="D168" s="46" t="s">
        <v>861</v>
      </c>
      <c r="E168" s="58">
        <v>130000</v>
      </c>
      <c r="F168" s="46" t="s">
        <v>457</v>
      </c>
      <c r="G168" s="46" t="s">
        <v>107</v>
      </c>
      <c r="H168" s="46" t="s">
        <v>12</v>
      </c>
      <c r="I168" s="46" t="s">
        <v>107</v>
      </c>
      <c r="J168" s="56">
        <v>44252</v>
      </c>
      <c r="K168" s="63" t="s">
        <v>302</v>
      </c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</row>
    <row r="169" spans="1:31" ht="15.75" customHeight="1">
      <c r="A169" s="60">
        <v>44127</v>
      </c>
      <c r="B169" s="61" t="s">
        <v>888</v>
      </c>
      <c r="C169" s="62" t="s">
        <v>150</v>
      </c>
      <c r="D169" s="46" t="s">
        <v>861</v>
      </c>
      <c r="E169" s="58">
        <v>12000</v>
      </c>
      <c r="F169" s="46" t="s">
        <v>106</v>
      </c>
      <c r="G169" s="56" t="s">
        <v>107</v>
      </c>
      <c r="H169" s="56" t="s">
        <v>12</v>
      </c>
      <c r="I169" s="56" t="s">
        <v>108</v>
      </c>
      <c r="J169" s="56">
        <v>43564</v>
      </c>
      <c r="K169" s="59" t="s">
        <v>304</v>
      </c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</row>
    <row r="170" spans="1:31" ht="15.75" customHeight="1">
      <c r="A170" s="60">
        <v>44130</v>
      </c>
      <c r="B170" s="61" t="s">
        <v>869</v>
      </c>
      <c r="C170" s="62" t="s">
        <v>150</v>
      </c>
      <c r="D170" s="46" t="s">
        <v>861</v>
      </c>
      <c r="E170" s="58">
        <v>34182</v>
      </c>
      <c r="F170" s="46" t="s">
        <v>101</v>
      </c>
      <c r="G170" s="56" t="s">
        <v>107</v>
      </c>
      <c r="H170" s="56" t="s">
        <v>12</v>
      </c>
      <c r="I170" s="56" t="s">
        <v>108</v>
      </c>
      <c r="J170" s="56">
        <v>43605</v>
      </c>
      <c r="K170" s="59" t="s">
        <v>302</v>
      </c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</row>
    <row r="171" spans="1:31" ht="15.75" customHeight="1">
      <c r="A171" s="60">
        <v>44131</v>
      </c>
      <c r="B171" s="61" t="s">
        <v>910</v>
      </c>
      <c r="C171" s="62" t="s">
        <v>14</v>
      </c>
      <c r="D171" s="46" t="s">
        <v>861</v>
      </c>
      <c r="E171" s="58">
        <v>20000</v>
      </c>
      <c r="F171" s="46" t="s">
        <v>487</v>
      </c>
      <c r="G171" s="46" t="s">
        <v>107</v>
      </c>
      <c r="H171" s="46" t="s">
        <v>12</v>
      </c>
      <c r="I171" s="46" t="s">
        <v>107</v>
      </c>
      <c r="J171" s="56">
        <v>44068</v>
      </c>
      <c r="K171" s="63" t="s">
        <v>298</v>
      </c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</row>
    <row r="172" spans="1:31" ht="15.75" customHeight="1">
      <c r="A172" s="60">
        <v>44131</v>
      </c>
      <c r="B172" s="61" t="s">
        <v>894</v>
      </c>
      <c r="C172" s="62" t="s">
        <v>150</v>
      </c>
      <c r="D172" s="46" t="s">
        <v>861</v>
      </c>
      <c r="E172" s="58">
        <v>20000</v>
      </c>
      <c r="F172" s="46" t="s">
        <v>268</v>
      </c>
      <c r="G172" s="56" t="s">
        <v>107</v>
      </c>
      <c r="H172" s="56" t="s">
        <v>12</v>
      </c>
      <c r="I172" s="56" t="s">
        <v>108</v>
      </c>
      <c r="J172" s="56">
        <v>43840</v>
      </c>
      <c r="K172" s="59" t="s">
        <v>302</v>
      </c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</row>
    <row r="173" spans="1:31" ht="15.75" customHeight="1">
      <c r="A173" s="60">
        <v>44131</v>
      </c>
      <c r="B173" s="61" t="s">
        <v>885</v>
      </c>
      <c r="C173" s="62" t="s">
        <v>150</v>
      </c>
      <c r="D173" s="46" t="s">
        <v>861</v>
      </c>
      <c r="E173" s="58">
        <v>3000</v>
      </c>
      <c r="F173" s="46" t="s">
        <v>161</v>
      </c>
      <c r="G173" s="56" t="s">
        <v>107</v>
      </c>
      <c r="H173" s="56" t="s">
        <v>12</v>
      </c>
      <c r="I173" s="56" t="s">
        <v>108</v>
      </c>
      <c r="J173" s="56">
        <v>43867</v>
      </c>
      <c r="K173" s="59" t="s">
        <v>298</v>
      </c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</row>
    <row r="174" spans="1:31" ht="15.75" customHeight="1">
      <c r="A174" s="60">
        <v>44131</v>
      </c>
      <c r="B174" s="61" t="s">
        <v>867</v>
      </c>
      <c r="C174" s="62" t="s">
        <v>150</v>
      </c>
      <c r="D174" s="46" t="s">
        <v>861</v>
      </c>
      <c r="E174" s="58">
        <v>7000</v>
      </c>
      <c r="F174" s="46" t="s">
        <v>206</v>
      </c>
      <c r="G174" s="56" t="s">
        <v>107</v>
      </c>
      <c r="H174" s="56" t="s">
        <v>12</v>
      </c>
      <c r="I174" s="56" t="s">
        <v>108</v>
      </c>
      <c r="J174" s="56">
        <v>43703</v>
      </c>
      <c r="K174" s="59" t="s">
        <v>382</v>
      </c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</row>
    <row r="175" spans="1:31" ht="15.75" customHeight="1">
      <c r="A175" s="60">
        <v>44131</v>
      </c>
      <c r="B175" s="61" t="s">
        <v>898</v>
      </c>
      <c r="C175" s="62" t="s">
        <v>150</v>
      </c>
      <c r="D175" s="46" t="s">
        <v>861</v>
      </c>
      <c r="E175" s="58">
        <v>10000</v>
      </c>
      <c r="F175" s="46" t="s">
        <v>231</v>
      </c>
      <c r="G175" s="56" t="s">
        <v>107</v>
      </c>
      <c r="H175" s="56" t="s">
        <v>12</v>
      </c>
      <c r="I175" s="56" t="s">
        <v>108</v>
      </c>
      <c r="J175" s="56">
        <v>43732</v>
      </c>
      <c r="K175" s="59" t="s">
        <v>382</v>
      </c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</row>
    <row r="176" spans="1:31" ht="15.75" customHeight="1">
      <c r="A176" s="56">
        <v>44132</v>
      </c>
      <c r="B176" s="57" t="s">
        <v>921</v>
      </c>
      <c r="C176" s="46" t="s">
        <v>150</v>
      </c>
      <c r="D176" s="46" t="s">
        <v>237</v>
      </c>
      <c r="E176" s="58">
        <v>191544.71</v>
      </c>
      <c r="F176" s="46" t="s">
        <v>283</v>
      </c>
      <c r="G176" s="56" t="s">
        <v>104</v>
      </c>
      <c r="H176" s="56" t="s">
        <v>12</v>
      </c>
      <c r="I176" s="56" t="s">
        <v>104</v>
      </c>
      <c r="J176" s="56">
        <v>43494</v>
      </c>
      <c r="K176" s="59" t="s">
        <v>304</v>
      </c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</row>
    <row r="177" spans="1:31" ht="15.75" customHeight="1">
      <c r="A177" s="60">
        <v>44133</v>
      </c>
      <c r="B177" s="61" t="s">
        <v>922</v>
      </c>
      <c r="C177" s="62" t="s">
        <v>150</v>
      </c>
      <c r="D177" s="46" t="s">
        <v>861</v>
      </c>
      <c r="E177" s="58">
        <v>9600</v>
      </c>
      <c r="F177" s="46" t="s">
        <v>246</v>
      </c>
      <c r="G177" s="56" t="s">
        <v>107</v>
      </c>
      <c r="H177" s="56" t="s">
        <v>12</v>
      </c>
      <c r="I177" s="56" t="s">
        <v>108</v>
      </c>
      <c r="J177" s="56">
        <v>43873</v>
      </c>
      <c r="K177" s="59" t="s">
        <v>298</v>
      </c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</row>
    <row r="178" spans="1:31" ht="15.75" customHeight="1">
      <c r="A178" s="60">
        <v>44133</v>
      </c>
      <c r="B178" s="61" t="s">
        <v>869</v>
      </c>
      <c r="C178" s="62" t="s">
        <v>150</v>
      </c>
      <c r="D178" s="46" t="s">
        <v>861</v>
      </c>
      <c r="E178" s="58">
        <v>8000</v>
      </c>
      <c r="F178" s="46" t="s">
        <v>101</v>
      </c>
      <c r="G178" s="56" t="s">
        <v>107</v>
      </c>
      <c r="H178" s="56" t="s">
        <v>12</v>
      </c>
      <c r="I178" s="56" t="s">
        <v>108</v>
      </c>
      <c r="J178" s="56">
        <v>43605</v>
      </c>
      <c r="K178" s="59" t="s">
        <v>302</v>
      </c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</row>
    <row r="179" spans="1:31" ht="15.75" customHeight="1">
      <c r="A179" s="60">
        <v>44138</v>
      </c>
      <c r="B179" s="61" t="s">
        <v>860</v>
      </c>
      <c r="C179" s="62" t="s">
        <v>150</v>
      </c>
      <c r="D179" s="46" t="s">
        <v>861</v>
      </c>
      <c r="E179" s="58">
        <v>100000</v>
      </c>
      <c r="F179" s="46" t="s">
        <v>270</v>
      </c>
      <c r="G179" s="56" t="s">
        <v>107</v>
      </c>
      <c r="H179" s="56" t="s">
        <v>12</v>
      </c>
      <c r="I179" s="56" t="s">
        <v>108</v>
      </c>
      <c r="J179" s="56">
        <v>43675</v>
      </c>
      <c r="K179" s="59" t="s">
        <v>382</v>
      </c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</row>
    <row r="180" spans="1:31" ht="15.75" customHeight="1">
      <c r="A180" s="60">
        <v>44138</v>
      </c>
      <c r="B180" s="64" t="s">
        <v>893</v>
      </c>
      <c r="C180" s="62" t="s">
        <v>150</v>
      </c>
      <c r="D180" s="46" t="s">
        <v>861</v>
      </c>
      <c r="E180" s="58">
        <v>30000</v>
      </c>
      <c r="F180" s="46" t="s">
        <v>200</v>
      </c>
      <c r="G180" s="56" t="s">
        <v>107</v>
      </c>
      <c r="H180" s="56" t="s">
        <v>12</v>
      </c>
      <c r="I180" s="56" t="s">
        <v>108</v>
      </c>
      <c r="J180" s="56">
        <v>43888</v>
      </c>
      <c r="K180" s="59" t="s">
        <v>298</v>
      </c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</row>
    <row r="181" spans="1:31" ht="15.75" customHeight="1">
      <c r="A181" s="60">
        <v>44138</v>
      </c>
      <c r="B181" s="61" t="s">
        <v>869</v>
      </c>
      <c r="C181" s="62" t="s">
        <v>150</v>
      </c>
      <c r="D181" s="46" t="s">
        <v>861</v>
      </c>
      <c r="E181" s="58">
        <v>6000</v>
      </c>
      <c r="F181" s="46" t="s">
        <v>101</v>
      </c>
      <c r="G181" s="56" t="s">
        <v>107</v>
      </c>
      <c r="H181" s="56" t="s">
        <v>12</v>
      </c>
      <c r="I181" s="56" t="s">
        <v>108</v>
      </c>
      <c r="J181" s="56">
        <v>43605</v>
      </c>
      <c r="K181" s="59" t="s">
        <v>302</v>
      </c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</row>
    <row r="182" spans="1:31" ht="15.75" customHeight="1">
      <c r="A182" s="60">
        <v>44138</v>
      </c>
      <c r="B182" s="61" t="s">
        <v>875</v>
      </c>
      <c r="C182" s="62" t="s">
        <v>150</v>
      </c>
      <c r="D182" s="46" t="s">
        <v>861</v>
      </c>
      <c r="E182" s="58">
        <v>6000</v>
      </c>
      <c r="F182" s="46" t="s">
        <v>217</v>
      </c>
      <c r="G182" s="56" t="s">
        <v>107</v>
      </c>
      <c r="H182" s="56" t="s">
        <v>12</v>
      </c>
      <c r="I182" s="56" t="s">
        <v>153</v>
      </c>
      <c r="J182" s="56">
        <v>43559</v>
      </c>
      <c r="K182" s="59" t="s">
        <v>382</v>
      </c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</row>
    <row r="183" spans="1:31" ht="15.75" customHeight="1">
      <c r="A183" s="60">
        <v>44138</v>
      </c>
      <c r="B183" s="61" t="s">
        <v>867</v>
      </c>
      <c r="C183" s="62" t="s">
        <v>150</v>
      </c>
      <c r="D183" s="46" t="s">
        <v>861</v>
      </c>
      <c r="E183" s="58">
        <v>6300</v>
      </c>
      <c r="F183" s="46" t="s">
        <v>206</v>
      </c>
      <c r="G183" s="56" t="s">
        <v>107</v>
      </c>
      <c r="H183" s="56" t="s">
        <v>12</v>
      </c>
      <c r="I183" s="56" t="s">
        <v>108</v>
      </c>
      <c r="J183" s="56">
        <v>43703</v>
      </c>
      <c r="K183" s="59" t="s">
        <v>382</v>
      </c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</row>
    <row r="184" spans="1:31" ht="15.75" customHeight="1">
      <c r="A184" s="60">
        <v>44138</v>
      </c>
      <c r="B184" s="61" t="s">
        <v>867</v>
      </c>
      <c r="C184" s="62" t="s">
        <v>150</v>
      </c>
      <c r="D184" s="46" t="s">
        <v>861</v>
      </c>
      <c r="E184" s="58">
        <v>10000</v>
      </c>
      <c r="F184" s="46" t="s">
        <v>206</v>
      </c>
      <c r="G184" s="56" t="s">
        <v>107</v>
      </c>
      <c r="H184" s="56" t="s">
        <v>12</v>
      </c>
      <c r="I184" s="56" t="s">
        <v>108</v>
      </c>
      <c r="J184" s="56">
        <v>43703</v>
      </c>
      <c r="K184" s="59" t="s">
        <v>382</v>
      </c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</row>
    <row r="185" spans="1:31" ht="15.75" customHeight="1">
      <c r="A185" s="60">
        <v>44138</v>
      </c>
      <c r="B185" s="61" t="s">
        <v>910</v>
      </c>
      <c r="C185" s="62" t="s">
        <v>14</v>
      </c>
      <c r="D185" s="46" t="s">
        <v>861</v>
      </c>
      <c r="E185" s="58">
        <v>5000</v>
      </c>
      <c r="F185" s="46" t="s">
        <v>487</v>
      </c>
      <c r="G185" s="46" t="s">
        <v>107</v>
      </c>
      <c r="H185" s="46" t="s">
        <v>12</v>
      </c>
      <c r="I185" s="46" t="s">
        <v>107</v>
      </c>
      <c r="J185" s="56">
        <v>44068</v>
      </c>
      <c r="K185" s="63" t="s">
        <v>298</v>
      </c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</row>
    <row r="186" spans="1:31" ht="15.75" customHeight="1">
      <c r="A186" s="60">
        <v>44139</v>
      </c>
      <c r="B186" s="61" t="s">
        <v>923</v>
      </c>
      <c r="C186" s="62" t="s">
        <v>150</v>
      </c>
      <c r="D186" s="46" t="s">
        <v>861</v>
      </c>
      <c r="E186" s="58">
        <v>10000</v>
      </c>
      <c r="F186" s="46" t="s">
        <v>208</v>
      </c>
      <c r="G186" s="56" t="s">
        <v>107</v>
      </c>
      <c r="H186" s="56" t="s">
        <v>12</v>
      </c>
      <c r="I186" s="56" t="s">
        <v>108</v>
      </c>
      <c r="J186" s="56">
        <v>43875</v>
      </c>
      <c r="K186" s="59" t="s">
        <v>302</v>
      </c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</row>
    <row r="187" spans="1:31" ht="15.75" customHeight="1">
      <c r="A187" s="60">
        <v>44139</v>
      </c>
      <c r="B187" s="61" t="s">
        <v>920</v>
      </c>
      <c r="C187" s="62" t="s">
        <v>150</v>
      </c>
      <c r="D187" s="46" t="s">
        <v>861</v>
      </c>
      <c r="E187" s="58">
        <v>20000</v>
      </c>
      <c r="F187" s="46" t="s">
        <v>248</v>
      </c>
      <c r="G187" s="56" t="s">
        <v>107</v>
      </c>
      <c r="H187" s="56" t="s">
        <v>12</v>
      </c>
      <c r="I187" s="56" t="s">
        <v>153</v>
      </c>
      <c r="J187" s="56">
        <v>43622</v>
      </c>
      <c r="K187" s="59" t="s">
        <v>302</v>
      </c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</row>
    <row r="188" spans="1:31" ht="15.75" customHeight="1">
      <c r="A188" s="60">
        <v>44139</v>
      </c>
      <c r="B188" s="61" t="s">
        <v>127</v>
      </c>
      <c r="C188" s="62" t="s">
        <v>120</v>
      </c>
      <c r="D188" s="46" t="s">
        <v>861</v>
      </c>
      <c r="E188" s="58">
        <v>30000</v>
      </c>
      <c r="F188" s="46" t="s">
        <v>126</v>
      </c>
      <c r="G188" s="56" t="s">
        <v>11</v>
      </c>
      <c r="H188" s="56" t="s">
        <v>12</v>
      </c>
      <c r="I188" s="56" t="s">
        <v>11</v>
      </c>
      <c r="J188" s="56">
        <v>44062</v>
      </c>
      <c r="K188" s="59" t="s">
        <v>298</v>
      </c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</row>
    <row r="189" spans="1:31" ht="15.75" customHeight="1">
      <c r="A189" s="60">
        <v>44139</v>
      </c>
      <c r="B189" s="61" t="s">
        <v>142</v>
      </c>
      <c r="C189" s="62" t="s">
        <v>120</v>
      </c>
      <c r="D189" s="46" t="s">
        <v>861</v>
      </c>
      <c r="E189" s="58">
        <v>28000</v>
      </c>
      <c r="F189" s="46" t="s">
        <v>141</v>
      </c>
      <c r="G189" s="56" t="s">
        <v>11</v>
      </c>
      <c r="H189" s="56" t="s">
        <v>12</v>
      </c>
      <c r="I189" s="56" t="s">
        <v>125</v>
      </c>
      <c r="J189" s="56">
        <v>43635</v>
      </c>
      <c r="K189" s="59" t="s">
        <v>382</v>
      </c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</row>
    <row r="190" spans="1:31" ht="15.75" customHeight="1">
      <c r="A190" s="60">
        <v>44141</v>
      </c>
      <c r="B190" s="61" t="s">
        <v>874</v>
      </c>
      <c r="C190" s="62" t="s">
        <v>150</v>
      </c>
      <c r="D190" s="46" t="s">
        <v>861</v>
      </c>
      <c r="E190" s="58">
        <v>1800000</v>
      </c>
      <c r="F190" s="46" t="s">
        <v>220</v>
      </c>
      <c r="G190" s="56" t="s">
        <v>107</v>
      </c>
      <c r="H190" s="56" t="s">
        <v>12</v>
      </c>
      <c r="I190" s="56" t="s">
        <v>153</v>
      </c>
      <c r="J190" s="56">
        <v>43664</v>
      </c>
      <c r="K190" s="59" t="s">
        <v>382</v>
      </c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</row>
    <row r="191" spans="1:31" ht="15.75" customHeight="1">
      <c r="A191" s="60">
        <v>44144</v>
      </c>
      <c r="B191" s="61" t="s">
        <v>869</v>
      </c>
      <c r="C191" s="62" t="s">
        <v>150</v>
      </c>
      <c r="D191" s="46" t="s">
        <v>861</v>
      </c>
      <c r="E191" s="58">
        <v>15000</v>
      </c>
      <c r="F191" s="46" t="s">
        <v>101</v>
      </c>
      <c r="G191" s="56" t="s">
        <v>107</v>
      </c>
      <c r="H191" s="56" t="s">
        <v>12</v>
      </c>
      <c r="I191" s="56" t="s">
        <v>108</v>
      </c>
      <c r="J191" s="56">
        <v>43605</v>
      </c>
      <c r="K191" s="59" t="s">
        <v>302</v>
      </c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</row>
    <row r="192" spans="1:31" ht="15.75" customHeight="1">
      <c r="A192" s="60">
        <v>44144</v>
      </c>
      <c r="B192" s="61" t="s">
        <v>882</v>
      </c>
      <c r="C192" s="62" t="s">
        <v>150</v>
      </c>
      <c r="D192" s="46" t="s">
        <v>861</v>
      </c>
      <c r="E192" s="58">
        <v>7000</v>
      </c>
      <c r="F192" s="46" t="s">
        <v>280</v>
      </c>
      <c r="G192" s="56" t="s">
        <v>107</v>
      </c>
      <c r="H192" s="56" t="s">
        <v>12</v>
      </c>
      <c r="I192" s="56" t="s">
        <v>108</v>
      </c>
      <c r="J192" s="56">
        <v>43717</v>
      </c>
      <c r="K192" s="59" t="s">
        <v>382</v>
      </c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</row>
    <row r="193" spans="1:31" ht="15.75" customHeight="1">
      <c r="A193" s="60">
        <v>44145</v>
      </c>
      <c r="B193" s="64" t="s">
        <v>893</v>
      </c>
      <c r="C193" s="62" t="s">
        <v>150</v>
      </c>
      <c r="D193" s="46" t="s">
        <v>861</v>
      </c>
      <c r="E193" s="58">
        <v>90562.43</v>
      </c>
      <c r="F193" s="46" t="s">
        <v>200</v>
      </c>
      <c r="G193" s="56" t="s">
        <v>107</v>
      </c>
      <c r="H193" s="56" t="s">
        <v>12</v>
      </c>
      <c r="I193" s="56" t="s">
        <v>108</v>
      </c>
      <c r="J193" s="56">
        <v>43888</v>
      </c>
      <c r="K193" s="59" t="s">
        <v>298</v>
      </c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</row>
    <row r="194" spans="1:31" ht="15.75" customHeight="1">
      <c r="A194" s="60">
        <v>44145</v>
      </c>
      <c r="B194" s="61" t="s">
        <v>863</v>
      </c>
      <c r="C194" s="62" t="s">
        <v>14</v>
      </c>
      <c r="D194" s="46" t="s">
        <v>861</v>
      </c>
      <c r="E194" s="58">
        <v>45400</v>
      </c>
      <c r="F194" s="46" t="s">
        <v>514</v>
      </c>
      <c r="G194" s="46" t="s">
        <v>107</v>
      </c>
      <c r="H194" s="46" t="s">
        <v>12</v>
      </c>
      <c r="I194" s="46" t="s">
        <v>107</v>
      </c>
      <c r="J194" s="56">
        <v>43749</v>
      </c>
      <c r="K194" s="63" t="s">
        <v>382</v>
      </c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</row>
    <row r="195" spans="1:31" ht="15.75" customHeight="1">
      <c r="A195" s="60">
        <v>44147</v>
      </c>
      <c r="B195" s="61" t="s">
        <v>868</v>
      </c>
      <c r="C195" s="62" t="s">
        <v>150</v>
      </c>
      <c r="D195" s="46" t="s">
        <v>861</v>
      </c>
      <c r="E195" s="58">
        <v>10000</v>
      </c>
      <c r="F195" s="46" t="s">
        <v>292</v>
      </c>
      <c r="G195" s="56" t="s">
        <v>107</v>
      </c>
      <c r="H195" s="56" t="s">
        <v>12</v>
      </c>
      <c r="I195" s="56" t="s">
        <v>108</v>
      </c>
      <c r="J195" s="56">
        <v>43567</v>
      </c>
      <c r="K195" s="59" t="s">
        <v>298</v>
      </c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</row>
    <row r="196" spans="1:31" ht="15.75" customHeight="1">
      <c r="A196" s="60">
        <v>44147</v>
      </c>
      <c r="B196" s="61" t="s">
        <v>924</v>
      </c>
      <c r="C196" s="62" t="s">
        <v>14</v>
      </c>
      <c r="D196" s="46" t="s">
        <v>861</v>
      </c>
      <c r="E196" s="58">
        <v>20000</v>
      </c>
      <c r="F196" s="46" t="s">
        <v>451</v>
      </c>
      <c r="G196" s="46" t="s">
        <v>107</v>
      </c>
      <c r="H196" s="46" t="s">
        <v>12</v>
      </c>
      <c r="I196" s="46" t="s">
        <v>107</v>
      </c>
      <c r="J196" s="56">
        <v>43717</v>
      </c>
      <c r="K196" s="63" t="s">
        <v>382</v>
      </c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</row>
    <row r="197" spans="1:31" ht="15.75" customHeight="1">
      <c r="A197" s="60">
        <v>44147</v>
      </c>
      <c r="B197" s="61" t="s">
        <v>911</v>
      </c>
      <c r="C197" s="62" t="s">
        <v>150</v>
      </c>
      <c r="D197" s="46" t="s">
        <v>861</v>
      </c>
      <c r="E197" s="58">
        <v>50000</v>
      </c>
      <c r="F197" s="46" t="s">
        <v>276</v>
      </c>
      <c r="G197" s="56" t="s">
        <v>107</v>
      </c>
      <c r="H197" s="56" t="s">
        <v>12</v>
      </c>
      <c r="I197" s="56" t="s">
        <v>108</v>
      </c>
      <c r="J197" s="56">
        <v>44041</v>
      </c>
      <c r="K197" s="59" t="s">
        <v>298</v>
      </c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</row>
    <row r="198" spans="1:31" ht="15.75" customHeight="1">
      <c r="A198" s="60">
        <v>44151</v>
      </c>
      <c r="B198" s="61" t="s">
        <v>144</v>
      </c>
      <c r="C198" s="62" t="s">
        <v>120</v>
      </c>
      <c r="D198" s="46" t="s">
        <v>861</v>
      </c>
      <c r="E198" s="58">
        <v>6000</v>
      </c>
      <c r="F198" s="46" t="s">
        <v>143</v>
      </c>
      <c r="G198" s="56" t="s">
        <v>11</v>
      </c>
      <c r="H198" s="56" t="s">
        <v>12</v>
      </c>
      <c r="I198" s="56" t="s">
        <v>88</v>
      </c>
      <c r="J198" s="56">
        <v>43797</v>
      </c>
      <c r="K198" s="59" t="s">
        <v>302</v>
      </c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</row>
    <row r="199" spans="1:31" ht="15.75" customHeight="1">
      <c r="A199" s="60">
        <v>44152</v>
      </c>
      <c r="B199" s="61" t="s">
        <v>910</v>
      </c>
      <c r="C199" s="62" t="s">
        <v>14</v>
      </c>
      <c r="D199" s="46" t="s">
        <v>861</v>
      </c>
      <c r="E199" s="58">
        <v>20000</v>
      </c>
      <c r="F199" s="46" t="s">
        <v>487</v>
      </c>
      <c r="G199" s="46" t="s">
        <v>107</v>
      </c>
      <c r="H199" s="46" t="s">
        <v>12</v>
      </c>
      <c r="I199" s="46" t="s">
        <v>107</v>
      </c>
      <c r="J199" s="56">
        <v>44068</v>
      </c>
      <c r="K199" s="63" t="s">
        <v>298</v>
      </c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</row>
    <row r="200" spans="1:31" ht="15.75" customHeight="1">
      <c r="A200" s="56">
        <v>44153</v>
      </c>
      <c r="B200" s="57" t="s">
        <v>894</v>
      </c>
      <c r="C200" s="46" t="s">
        <v>150</v>
      </c>
      <c r="D200" s="46" t="s">
        <v>237</v>
      </c>
      <c r="E200" s="58">
        <v>90562.43</v>
      </c>
      <c r="F200" s="46" t="s">
        <v>268</v>
      </c>
      <c r="G200" s="56" t="s">
        <v>107</v>
      </c>
      <c r="H200" s="56" t="s">
        <v>12</v>
      </c>
      <c r="I200" s="56" t="s">
        <v>108</v>
      </c>
      <c r="J200" s="56">
        <v>43840</v>
      </c>
      <c r="K200" s="59" t="s">
        <v>302</v>
      </c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</row>
    <row r="201" spans="1:31" ht="15.75" customHeight="1">
      <c r="A201" s="60">
        <v>44153</v>
      </c>
      <c r="B201" s="61" t="s">
        <v>894</v>
      </c>
      <c r="C201" s="62" t="s">
        <v>150</v>
      </c>
      <c r="D201" s="46" t="s">
        <v>861</v>
      </c>
      <c r="E201" s="65">
        <v>30000</v>
      </c>
      <c r="F201" s="46" t="s">
        <v>268</v>
      </c>
      <c r="G201" s="56" t="s">
        <v>107</v>
      </c>
      <c r="H201" s="56" t="s">
        <v>12</v>
      </c>
      <c r="I201" s="56" t="s">
        <v>108</v>
      </c>
      <c r="J201" s="56">
        <v>43840</v>
      </c>
      <c r="K201" s="59" t="s">
        <v>302</v>
      </c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</row>
    <row r="202" spans="1:31" ht="15.75" customHeight="1">
      <c r="A202" s="60">
        <v>44159</v>
      </c>
      <c r="B202" s="61" t="s">
        <v>869</v>
      </c>
      <c r="C202" s="62" t="s">
        <v>150</v>
      </c>
      <c r="D202" s="46" t="s">
        <v>861</v>
      </c>
      <c r="E202" s="58">
        <v>7000</v>
      </c>
      <c r="F202" s="46" t="s">
        <v>101</v>
      </c>
      <c r="G202" s="56" t="s">
        <v>107</v>
      </c>
      <c r="H202" s="56" t="s">
        <v>12</v>
      </c>
      <c r="I202" s="56" t="s">
        <v>108</v>
      </c>
      <c r="J202" s="56">
        <v>43605</v>
      </c>
      <c r="K202" s="59" t="s">
        <v>302</v>
      </c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</row>
    <row r="203" spans="1:31" ht="15.75" customHeight="1">
      <c r="A203" s="60">
        <v>44160</v>
      </c>
      <c r="B203" s="61" t="s">
        <v>867</v>
      </c>
      <c r="C203" s="62" t="s">
        <v>150</v>
      </c>
      <c r="D203" s="46" t="s">
        <v>861</v>
      </c>
      <c r="E203" s="58">
        <v>112433.37</v>
      </c>
      <c r="F203" s="46" t="s">
        <v>206</v>
      </c>
      <c r="G203" s="56" t="s">
        <v>107</v>
      </c>
      <c r="H203" s="56" t="s">
        <v>12</v>
      </c>
      <c r="I203" s="56" t="s">
        <v>108</v>
      </c>
      <c r="J203" s="56">
        <v>43703</v>
      </c>
      <c r="K203" s="59" t="s">
        <v>382</v>
      </c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</row>
    <row r="204" spans="1:31" ht="15.75" customHeight="1">
      <c r="A204" s="60">
        <v>44161</v>
      </c>
      <c r="B204" s="61" t="s">
        <v>910</v>
      </c>
      <c r="C204" s="62" t="s">
        <v>14</v>
      </c>
      <c r="D204" s="46" t="s">
        <v>861</v>
      </c>
      <c r="E204" s="58">
        <v>286876.15999999997</v>
      </c>
      <c r="F204" s="46" t="s">
        <v>487</v>
      </c>
      <c r="G204" s="46" t="s">
        <v>107</v>
      </c>
      <c r="H204" s="46" t="s">
        <v>12</v>
      </c>
      <c r="I204" s="46" t="s">
        <v>107</v>
      </c>
      <c r="J204" s="56">
        <v>44068</v>
      </c>
      <c r="K204" s="63" t="s">
        <v>298</v>
      </c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</row>
    <row r="205" spans="1:31" ht="15.75" customHeight="1">
      <c r="A205" s="60">
        <v>44165</v>
      </c>
      <c r="B205" s="61" t="s">
        <v>868</v>
      </c>
      <c r="C205" s="62" t="s">
        <v>150</v>
      </c>
      <c r="D205" s="46" t="s">
        <v>861</v>
      </c>
      <c r="E205" s="58">
        <v>34941.81</v>
      </c>
      <c r="F205" s="46" t="s">
        <v>292</v>
      </c>
      <c r="G205" s="56" t="s">
        <v>107</v>
      </c>
      <c r="H205" s="56" t="s">
        <v>12</v>
      </c>
      <c r="I205" s="56" t="s">
        <v>108</v>
      </c>
      <c r="J205" s="56">
        <v>43567</v>
      </c>
      <c r="K205" s="59" t="s">
        <v>298</v>
      </c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</row>
    <row r="206" spans="1:31" ht="15.75" customHeight="1">
      <c r="A206" s="60">
        <v>44166</v>
      </c>
      <c r="B206" s="61" t="s">
        <v>860</v>
      </c>
      <c r="C206" s="62" t="s">
        <v>150</v>
      </c>
      <c r="D206" s="46" t="s">
        <v>861</v>
      </c>
      <c r="E206" s="58">
        <v>130950.51000000001</v>
      </c>
      <c r="F206" s="46" t="s">
        <v>270</v>
      </c>
      <c r="G206" s="56" t="s">
        <v>107</v>
      </c>
      <c r="H206" s="56" t="s">
        <v>12</v>
      </c>
      <c r="I206" s="56" t="s">
        <v>108</v>
      </c>
      <c r="J206" s="56">
        <v>43675</v>
      </c>
      <c r="K206" s="59" t="s">
        <v>382</v>
      </c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</row>
    <row r="207" spans="1:31" ht="15.75" customHeight="1">
      <c r="A207" s="60">
        <v>44166</v>
      </c>
      <c r="B207" s="61" t="s">
        <v>882</v>
      </c>
      <c r="C207" s="62" t="s">
        <v>150</v>
      </c>
      <c r="D207" s="46" t="s">
        <v>861</v>
      </c>
      <c r="E207" s="58">
        <v>10000</v>
      </c>
      <c r="F207" s="46" t="s">
        <v>280</v>
      </c>
      <c r="G207" s="56" t="s">
        <v>107</v>
      </c>
      <c r="H207" s="56" t="s">
        <v>12</v>
      </c>
      <c r="I207" s="56" t="s">
        <v>108</v>
      </c>
      <c r="J207" s="56">
        <v>43717</v>
      </c>
      <c r="K207" s="59" t="s">
        <v>382</v>
      </c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</row>
    <row r="208" spans="1:31" ht="15.75" customHeight="1">
      <c r="A208" s="60">
        <v>44172</v>
      </c>
      <c r="B208" s="64" t="s">
        <v>893</v>
      </c>
      <c r="C208" s="62" t="s">
        <v>150</v>
      </c>
      <c r="D208" s="46" t="s">
        <v>861</v>
      </c>
      <c r="E208" s="58">
        <v>5500</v>
      </c>
      <c r="F208" s="46" t="s">
        <v>200</v>
      </c>
      <c r="G208" s="56" t="s">
        <v>107</v>
      </c>
      <c r="H208" s="56" t="s">
        <v>12</v>
      </c>
      <c r="I208" s="56" t="s">
        <v>108</v>
      </c>
      <c r="J208" s="56">
        <v>43888</v>
      </c>
      <c r="K208" s="59" t="s">
        <v>298</v>
      </c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</row>
    <row r="209" spans="1:31" ht="15.75" customHeight="1">
      <c r="A209" s="60">
        <v>44172</v>
      </c>
      <c r="B209" s="61" t="s">
        <v>875</v>
      </c>
      <c r="C209" s="62" t="s">
        <v>150</v>
      </c>
      <c r="D209" s="46" t="s">
        <v>861</v>
      </c>
      <c r="E209" s="58">
        <v>35000</v>
      </c>
      <c r="F209" s="46" t="s">
        <v>217</v>
      </c>
      <c r="G209" s="56" t="s">
        <v>107</v>
      </c>
      <c r="H209" s="56" t="s">
        <v>12</v>
      </c>
      <c r="I209" s="56" t="s">
        <v>153</v>
      </c>
      <c r="J209" s="56">
        <v>43559</v>
      </c>
      <c r="K209" s="59" t="s">
        <v>382</v>
      </c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</row>
    <row r="210" spans="1:31" ht="15.75" customHeight="1">
      <c r="A210" s="60">
        <v>44173</v>
      </c>
      <c r="B210" s="61" t="s">
        <v>925</v>
      </c>
      <c r="C210" s="62" t="s">
        <v>150</v>
      </c>
      <c r="D210" s="46" t="s">
        <v>861</v>
      </c>
      <c r="E210" s="58">
        <v>100000</v>
      </c>
      <c r="F210" s="46" t="s">
        <v>109</v>
      </c>
      <c r="G210" s="56" t="s">
        <v>107</v>
      </c>
      <c r="H210" s="56" t="s">
        <v>12</v>
      </c>
      <c r="I210" s="56" t="s">
        <v>108</v>
      </c>
      <c r="J210" s="56">
        <v>43922</v>
      </c>
      <c r="K210" s="59" t="s">
        <v>302</v>
      </c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</row>
    <row r="211" spans="1:31" ht="15.75" customHeight="1">
      <c r="A211" s="60">
        <v>44173</v>
      </c>
      <c r="B211" s="61" t="s">
        <v>925</v>
      </c>
      <c r="C211" s="62" t="s">
        <v>150</v>
      </c>
      <c r="D211" s="46" t="s">
        <v>861</v>
      </c>
      <c r="E211" s="58">
        <v>32772.800000000003</v>
      </c>
      <c r="F211" s="46" t="s">
        <v>109</v>
      </c>
      <c r="G211" s="56" t="s">
        <v>107</v>
      </c>
      <c r="H211" s="56" t="s">
        <v>12</v>
      </c>
      <c r="I211" s="56" t="s">
        <v>108</v>
      </c>
      <c r="J211" s="56">
        <v>43922</v>
      </c>
      <c r="K211" s="59" t="s">
        <v>302</v>
      </c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</row>
    <row r="212" spans="1:31" ht="15.75" customHeight="1">
      <c r="A212" s="60">
        <v>44173</v>
      </c>
      <c r="B212" s="61" t="s">
        <v>925</v>
      </c>
      <c r="C212" s="62" t="s">
        <v>150</v>
      </c>
      <c r="D212" s="46" t="s">
        <v>861</v>
      </c>
      <c r="E212" s="58">
        <v>13100.45</v>
      </c>
      <c r="F212" s="46" t="s">
        <v>109</v>
      </c>
      <c r="G212" s="56" t="s">
        <v>107</v>
      </c>
      <c r="H212" s="56" t="s">
        <v>12</v>
      </c>
      <c r="I212" s="56" t="s">
        <v>108</v>
      </c>
      <c r="J212" s="56">
        <v>43922</v>
      </c>
      <c r="K212" s="59" t="s">
        <v>302</v>
      </c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</row>
    <row r="213" spans="1:31" ht="15.75" customHeight="1">
      <c r="A213" s="60">
        <v>44173</v>
      </c>
      <c r="B213" s="61" t="s">
        <v>925</v>
      </c>
      <c r="C213" s="62" t="s">
        <v>150</v>
      </c>
      <c r="D213" s="46" t="s">
        <v>861</v>
      </c>
      <c r="E213" s="58">
        <v>40379.75</v>
      </c>
      <c r="F213" s="46" t="s">
        <v>109</v>
      </c>
      <c r="G213" s="56" t="s">
        <v>107</v>
      </c>
      <c r="H213" s="56" t="s">
        <v>12</v>
      </c>
      <c r="I213" s="56" t="s">
        <v>108</v>
      </c>
      <c r="J213" s="56">
        <v>43922</v>
      </c>
      <c r="K213" s="59" t="s">
        <v>302</v>
      </c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</row>
    <row r="214" spans="1:31" ht="15.75" customHeight="1">
      <c r="A214" s="60">
        <v>44174</v>
      </c>
      <c r="B214" s="61" t="s">
        <v>867</v>
      </c>
      <c r="C214" s="62" t="s">
        <v>150</v>
      </c>
      <c r="D214" s="46" t="s">
        <v>861</v>
      </c>
      <c r="E214" s="58">
        <v>8747</v>
      </c>
      <c r="F214" s="46" t="s">
        <v>206</v>
      </c>
      <c r="G214" s="56" t="s">
        <v>107</v>
      </c>
      <c r="H214" s="56" t="s">
        <v>12</v>
      </c>
      <c r="I214" s="56" t="s">
        <v>108</v>
      </c>
      <c r="J214" s="56">
        <v>43703</v>
      </c>
      <c r="K214" s="59" t="s">
        <v>382</v>
      </c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</row>
    <row r="215" spans="1:31" ht="15.75" customHeight="1">
      <c r="A215" s="60">
        <v>44174</v>
      </c>
      <c r="B215" s="61" t="s">
        <v>867</v>
      </c>
      <c r="C215" s="62" t="s">
        <v>150</v>
      </c>
      <c r="D215" s="46" t="s">
        <v>861</v>
      </c>
      <c r="E215" s="58">
        <v>10000</v>
      </c>
      <c r="F215" s="46" t="s">
        <v>206</v>
      </c>
      <c r="G215" s="56" t="s">
        <v>107</v>
      </c>
      <c r="H215" s="56" t="s">
        <v>12</v>
      </c>
      <c r="I215" s="56" t="s">
        <v>108</v>
      </c>
      <c r="J215" s="56">
        <v>43703</v>
      </c>
      <c r="K215" s="59" t="s">
        <v>382</v>
      </c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</row>
    <row r="216" spans="1:31" ht="15.75" customHeight="1">
      <c r="A216" s="60">
        <v>44174</v>
      </c>
      <c r="B216" s="61" t="s">
        <v>926</v>
      </c>
      <c r="C216" s="62" t="s">
        <v>150</v>
      </c>
      <c r="D216" s="46" t="s">
        <v>861</v>
      </c>
      <c r="E216" s="58">
        <v>20000</v>
      </c>
      <c r="F216" s="46" t="s">
        <v>202</v>
      </c>
      <c r="G216" s="56" t="s">
        <v>107</v>
      </c>
      <c r="H216" s="56" t="s">
        <v>12</v>
      </c>
      <c r="I216" s="56" t="s">
        <v>153</v>
      </c>
      <c r="J216" s="56">
        <v>43531</v>
      </c>
      <c r="K216" s="59" t="s">
        <v>304</v>
      </c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</row>
    <row r="217" spans="1:31" ht="15.75" customHeight="1">
      <c r="A217" s="60">
        <v>44174</v>
      </c>
      <c r="B217" s="61" t="s">
        <v>926</v>
      </c>
      <c r="C217" s="62" t="s">
        <v>150</v>
      </c>
      <c r="D217" s="46" t="s">
        <v>861</v>
      </c>
      <c r="E217" s="58">
        <v>20000</v>
      </c>
      <c r="F217" s="46" t="s">
        <v>202</v>
      </c>
      <c r="G217" s="56" t="s">
        <v>107</v>
      </c>
      <c r="H217" s="56" t="s">
        <v>12</v>
      </c>
      <c r="I217" s="56" t="s">
        <v>153</v>
      </c>
      <c r="J217" s="56">
        <v>43531</v>
      </c>
      <c r="K217" s="59" t="s">
        <v>304</v>
      </c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</row>
    <row r="218" spans="1:31" ht="15.75" customHeight="1">
      <c r="A218" s="60">
        <v>44175</v>
      </c>
      <c r="B218" s="61" t="s">
        <v>144</v>
      </c>
      <c r="C218" s="62" t="s">
        <v>120</v>
      </c>
      <c r="D218" s="46" t="s">
        <v>861</v>
      </c>
      <c r="E218" s="58">
        <v>28000</v>
      </c>
      <c r="F218" s="46" t="s">
        <v>143</v>
      </c>
      <c r="G218" s="56" t="s">
        <v>11</v>
      </c>
      <c r="H218" s="56" t="s">
        <v>12</v>
      </c>
      <c r="I218" s="56" t="s">
        <v>88</v>
      </c>
      <c r="J218" s="56">
        <v>43797</v>
      </c>
      <c r="K218" s="59" t="s">
        <v>302</v>
      </c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</row>
    <row r="219" spans="1:31" ht="15.75" customHeight="1">
      <c r="A219" s="60">
        <v>44175</v>
      </c>
      <c r="B219" s="61" t="s">
        <v>144</v>
      </c>
      <c r="C219" s="62" t="s">
        <v>120</v>
      </c>
      <c r="D219" s="46" t="s">
        <v>861</v>
      </c>
      <c r="E219" s="58">
        <v>25000</v>
      </c>
      <c r="F219" s="46" t="s">
        <v>143</v>
      </c>
      <c r="G219" s="56" t="s">
        <v>11</v>
      </c>
      <c r="H219" s="56" t="s">
        <v>12</v>
      </c>
      <c r="I219" s="56" t="s">
        <v>88</v>
      </c>
      <c r="J219" s="56">
        <v>43797</v>
      </c>
      <c r="K219" s="59" t="s">
        <v>302</v>
      </c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</row>
    <row r="220" spans="1:31" ht="15.75" customHeight="1">
      <c r="A220" s="60">
        <v>44175</v>
      </c>
      <c r="B220" s="61" t="s">
        <v>144</v>
      </c>
      <c r="C220" s="62" t="s">
        <v>120</v>
      </c>
      <c r="D220" s="46" t="s">
        <v>861</v>
      </c>
      <c r="E220" s="58">
        <v>43000</v>
      </c>
      <c r="F220" s="46" t="s">
        <v>143</v>
      </c>
      <c r="G220" s="56" t="s">
        <v>11</v>
      </c>
      <c r="H220" s="56" t="s">
        <v>12</v>
      </c>
      <c r="I220" s="56" t="s">
        <v>88</v>
      </c>
      <c r="J220" s="56">
        <v>43797</v>
      </c>
      <c r="K220" s="59" t="s">
        <v>302</v>
      </c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</row>
    <row r="221" spans="1:31" ht="15.75" customHeight="1">
      <c r="A221" s="60">
        <v>44175</v>
      </c>
      <c r="B221" s="61" t="s">
        <v>144</v>
      </c>
      <c r="C221" s="62" t="s">
        <v>120</v>
      </c>
      <c r="D221" s="46" t="s">
        <v>861</v>
      </c>
      <c r="E221" s="58">
        <v>200000</v>
      </c>
      <c r="F221" s="46" t="s">
        <v>143</v>
      </c>
      <c r="G221" s="56" t="s">
        <v>11</v>
      </c>
      <c r="H221" s="56" t="s">
        <v>12</v>
      </c>
      <c r="I221" s="56" t="s">
        <v>88</v>
      </c>
      <c r="J221" s="56">
        <v>43797</v>
      </c>
      <c r="K221" s="59" t="s">
        <v>302</v>
      </c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</row>
    <row r="222" spans="1:31" ht="15.75" customHeight="1">
      <c r="A222" s="60">
        <v>44179</v>
      </c>
      <c r="B222" s="67" t="s">
        <v>875</v>
      </c>
      <c r="C222" s="62" t="s">
        <v>150</v>
      </c>
      <c r="D222" s="46" t="s">
        <v>861</v>
      </c>
      <c r="E222" s="58">
        <v>25000</v>
      </c>
      <c r="F222" s="46" t="s">
        <v>217</v>
      </c>
      <c r="G222" s="56" t="s">
        <v>107</v>
      </c>
      <c r="H222" s="56" t="s">
        <v>12</v>
      </c>
      <c r="I222" s="56" t="s">
        <v>153</v>
      </c>
      <c r="J222" s="56">
        <v>43559</v>
      </c>
      <c r="K222" s="59" t="s">
        <v>382</v>
      </c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</row>
    <row r="223" spans="1:31" ht="15.75" customHeight="1">
      <c r="A223" s="60">
        <v>44179</v>
      </c>
      <c r="B223" s="61" t="s">
        <v>888</v>
      </c>
      <c r="C223" s="62" t="s">
        <v>150</v>
      </c>
      <c r="D223" s="46" t="s">
        <v>861</v>
      </c>
      <c r="E223" s="58">
        <v>14000</v>
      </c>
      <c r="F223" s="46" t="s">
        <v>106</v>
      </c>
      <c r="G223" s="56" t="s">
        <v>107</v>
      </c>
      <c r="H223" s="56" t="s">
        <v>12</v>
      </c>
      <c r="I223" s="56" t="s">
        <v>108</v>
      </c>
      <c r="J223" s="56">
        <v>43564</v>
      </c>
      <c r="K223" s="59" t="s">
        <v>304</v>
      </c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</row>
    <row r="224" spans="1:31" ht="15.75" customHeight="1">
      <c r="A224" s="60">
        <v>44180</v>
      </c>
      <c r="B224" s="61" t="s">
        <v>863</v>
      </c>
      <c r="C224" s="62" t="s">
        <v>14</v>
      </c>
      <c r="D224" s="46" t="s">
        <v>861</v>
      </c>
      <c r="E224" s="58">
        <v>153000</v>
      </c>
      <c r="F224" s="46" t="s">
        <v>514</v>
      </c>
      <c r="G224" s="46" t="s">
        <v>107</v>
      </c>
      <c r="H224" s="46" t="s">
        <v>12</v>
      </c>
      <c r="I224" s="46" t="s">
        <v>107</v>
      </c>
      <c r="J224" s="56">
        <v>43749</v>
      </c>
      <c r="K224" s="63" t="s">
        <v>382</v>
      </c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</row>
    <row r="225" spans="1:31" ht="15.75" customHeight="1">
      <c r="A225" s="56">
        <v>44181</v>
      </c>
      <c r="B225" s="68" t="s">
        <v>927</v>
      </c>
      <c r="C225" s="46" t="s">
        <v>150</v>
      </c>
      <c r="D225" s="46" t="s">
        <v>237</v>
      </c>
      <c r="E225" s="58">
        <v>268845.87</v>
      </c>
      <c r="F225" s="46" t="s">
        <v>162</v>
      </c>
      <c r="G225" s="56" t="s">
        <v>104</v>
      </c>
      <c r="H225" s="56" t="s">
        <v>12</v>
      </c>
      <c r="I225" s="56" t="s">
        <v>104</v>
      </c>
      <c r="J225" s="56">
        <v>43563</v>
      </c>
      <c r="K225" s="59" t="s">
        <v>304</v>
      </c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</row>
    <row r="226" spans="1:31" ht="15.75" customHeight="1">
      <c r="A226" s="60">
        <v>44182</v>
      </c>
      <c r="B226" s="61" t="s">
        <v>913</v>
      </c>
      <c r="C226" s="62" t="s">
        <v>150</v>
      </c>
      <c r="D226" s="46" t="s">
        <v>861</v>
      </c>
      <c r="E226" s="58">
        <v>7000</v>
      </c>
      <c r="F226" s="46" t="s">
        <v>224</v>
      </c>
      <c r="G226" s="56" t="s">
        <v>107</v>
      </c>
      <c r="H226" s="56" t="s">
        <v>12</v>
      </c>
      <c r="I226" s="56" t="s">
        <v>108</v>
      </c>
      <c r="J226" s="56">
        <v>43711</v>
      </c>
      <c r="K226" s="59" t="s">
        <v>382</v>
      </c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</row>
    <row r="227" spans="1:31" ht="15.75" customHeight="1">
      <c r="A227" s="60">
        <v>44186</v>
      </c>
      <c r="B227" s="67" t="s">
        <v>869</v>
      </c>
      <c r="C227" s="62" t="s">
        <v>150</v>
      </c>
      <c r="D227" s="46" t="s">
        <v>861</v>
      </c>
      <c r="E227" s="58">
        <v>25000</v>
      </c>
      <c r="F227" s="46" t="s">
        <v>101</v>
      </c>
      <c r="G227" s="56" t="s">
        <v>107</v>
      </c>
      <c r="H227" s="56" t="s">
        <v>12</v>
      </c>
      <c r="I227" s="56" t="s">
        <v>108</v>
      </c>
      <c r="J227" s="56">
        <v>43605</v>
      </c>
      <c r="K227" s="59" t="s">
        <v>302</v>
      </c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</row>
    <row r="228" spans="1:31" ht="15.75" customHeight="1">
      <c r="A228" s="60">
        <v>44186</v>
      </c>
      <c r="B228" s="61" t="s">
        <v>910</v>
      </c>
      <c r="C228" s="62" t="s">
        <v>14</v>
      </c>
      <c r="D228" s="46" t="s">
        <v>861</v>
      </c>
      <c r="E228" s="58">
        <v>19000</v>
      </c>
      <c r="F228" s="46" t="s">
        <v>487</v>
      </c>
      <c r="G228" s="46" t="s">
        <v>107</v>
      </c>
      <c r="H228" s="46" t="s">
        <v>12</v>
      </c>
      <c r="I228" s="46" t="s">
        <v>107</v>
      </c>
      <c r="J228" s="56">
        <v>44068</v>
      </c>
      <c r="K228" s="63" t="s">
        <v>298</v>
      </c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</row>
    <row r="229" spans="1:31" ht="15.75" customHeight="1">
      <c r="A229" s="60">
        <v>44187</v>
      </c>
      <c r="B229" s="61" t="s">
        <v>867</v>
      </c>
      <c r="C229" s="62" t="s">
        <v>150</v>
      </c>
      <c r="D229" s="46" t="s">
        <v>861</v>
      </c>
      <c r="E229" s="58">
        <v>6500</v>
      </c>
      <c r="F229" s="46" t="s">
        <v>206</v>
      </c>
      <c r="G229" s="56" t="s">
        <v>107</v>
      </c>
      <c r="H229" s="56" t="s">
        <v>12</v>
      </c>
      <c r="I229" s="56" t="s">
        <v>108</v>
      </c>
      <c r="J229" s="56">
        <v>43703</v>
      </c>
      <c r="K229" s="59" t="s">
        <v>382</v>
      </c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</row>
    <row r="230" spans="1:31" ht="15.75" customHeight="1">
      <c r="A230" s="60">
        <v>44193</v>
      </c>
      <c r="B230" s="61" t="s">
        <v>888</v>
      </c>
      <c r="C230" s="62" t="s">
        <v>150</v>
      </c>
      <c r="D230" s="46" t="s">
        <v>861</v>
      </c>
      <c r="E230" s="58">
        <v>2000</v>
      </c>
      <c r="F230" s="46" t="s">
        <v>106</v>
      </c>
      <c r="G230" s="56" t="s">
        <v>107</v>
      </c>
      <c r="H230" s="56" t="s">
        <v>12</v>
      </c>
      <c r="I230" s="56" t="s">
        <v>108</v>
      </c>
      <c r="J230" s="56">
        <v>43564</v>
      </c>
      <c r="K230" s="59" t="s">
        <v>304</v>
      </c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</row>
    <row r="231" spans="1:31" ht="15.75" customHeight="1">
      <c r="A231" s="60">
        <v>44193</v>
      </c>
      <c r="B231" s="61" t="s">
        <v>869</v>
      </c>
      <c r="C231" s="62" t="s">
        <v>150</v>
      </c>
      <c r="D231" s="46" t="s">
        <v>861</v>
      </c>
      <c r="E231" s="58">
        <v>40000</v>
      </c>
      <c r="F231" s="46" t="s">
        <v>101</v>
      </c>
      <c r="G231" s="56" t="s">
        <v>107</v>
      </c>
      <c r="H231" s="56" t="s">
        <v>12</v>
      </c>
      <c r="I231" s="56" t="s">
        <v>108</v>
      </c>
      <c r="J231" s="56">
        <v>43605</v>
      </c>
      <c r="K231" s="59" t="s">
        <v>302</v>
      </c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</row>
    <row r="232" spans="1:31" ht="15.75" customHeight="1">
      <c r="A232" s="60">
        <v>44194</v>
      </c>
      <c r="B232" s="61" t="s">
        <v>885</v>
      </c>
      <c r="C232" s="62" t="s">
        <v>150</v>
      </c>
      <c r="D232" s="46" t="s">
        <v>861</v>
      </c>
      <c r="E232" s="58">
        <v>271260.25</v>
      </c>
      <c r="F232" s="46" t="s">
        <v>161</v>
      </c>
      <c r="G232" s="56" t="s">
        <v>107</v>
      </c>
      <c r="H232" s="56" t="s">
        <v>12</v>
      </c>
      <c r="I232" s="56" t="s">
        <v>108</v>
      </c>
      <c r="J232" s="56">
        <v>43867</v>
      </c>
      <c r="K232" s="59" t="s">
        <v>298</v>
      </c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</row>
    <row r="233" spans="1:31" ht="15.75" customHeight="1">
      <c r="A233" s="60">
        <v>44199</v>
      </c>
      <c r="B233" s="69" t="s">
        <v>928</v>
      </c>
      <c r="C233" s="62" t="s">
        <v>150</v>
      </c>
      <c r="D233" s="46" t="s">
        <v>861</v>
      </c>
      <c r="E233" s="70">
        <v>40000</v>
      </c>
      <c r="F233" s="46" t="s">
        <v>53</v>
      </c>
      <c r="G233" s="56" t="s">
        <v>11</v>
      </c>
      <c r="H233" s="56" t="s">
        <v>9</v>
      </c>
      <c r="I233" s="56" t="s">
        <v>10</v>
      </c>
      <c r="J233" s="56">
        <v>44321</v>
      </c>
      <c r="K233" s="59" t="s">
        <v>298</v>
      </c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</row>
    <row r="234" spans="1:31" ht="15.75" customHeight="1">
      <c r="A234" s="60">
        <v>44199</v>
      </c>
      <c r="B234" s="69" t="s">
        <v>929</v>
      </c>
      <c r="C234" s="62" t="s">
        <v>150</v>
      </c>
      <c r="D234" s="46" t="s">
        <v>861</v>
      </c>
      <c r="E234" s="70">
        <v>10000</v>
      </c>
      <c r="F234" s="46" t="s">
        <v>103</v>
      </c>
      <c r="G234" s="56" t="s">
        <v>11</v>
      </c>
      <c r="H234" s="56" t="s">
        <v>9</v>
      </c>
      <c r="I234" s="56" t="s">
        <v>10</v>
      </c>
      <c r="J234" s="56">
        <v>44295</v>
      </c>
      <c r="K234" s="59" t="s">
        <v>301</v>
      </c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</row>
    <row r="235" spans="1:31" ht="15.75" customHeight="1">
      <c r="A235" s="60">
        <v>44199</v>
      </c>
      <c r="B235" s="69" t="s">
        <v>930</v>
      </c>
      <c r="C235" s="62" t="s">
        <v>150</v>
      </c>
      <c r="D235" s="46" t="s">
        <v>54</v>
      </c>
      <c r="E235" s="71">
        <v>459854.95</v>
      </c>
      <c r="F235" s="46" t="s">
        <v>201</v>
      </c>
      <c r="G235" s="56" t="s">
        <v>11</v>
      </c>
      <c r="H235" s="56" t="s">
        <v>9</v>
      </c>
      <c r="I235" s="56" t="s">
        <v>10</v>
      </c>
      <c r="J235" s="56">
        <v>44272</v>
      </c>
      <c r="K235" s="59" t="s">
        <v>931</v>
      </c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</row>
    <row r="236" spans="1:31" ht="15.75" customHeight="1">
      <c r="A236" s="60">
        <v>44199</v>
      </c>
      <c r="B236" s="72" t="s">
        <v>932</v>
      </c>
      <c r="C236" s="62" t="s">
        <v>14</v>
      </c>
      <c r="D236" s="46" t="s">
        <v>861</v>
      </c>
      <c r="E236" s="70">
        <v>10000</v>
      </c>
      <c r="F236" s="46" t="s">
        <v>415</v>
      </c>
      <c r="G236" s="46" t="s">
        <v>24</v>
      </c>
      <c r="H236" s="46" t="s">
        <v>12</v>
      </c>
      <c r="I236" s="46" t="s">
        <v>316</v>
      </c>
      <c r="J236" s="56">
        <v>44263</v>
      </c>
      <c r="K236" s="63" t="s">
        <v>298</v>
      </c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</row>
    <row r="237" spans="1:31" ht="15.75" customHeight="1">
      <c r="A237" s="60">
        <v>44200</v>
      </c>
      <c r="B237" s="69" t="s">
        <v>933</v>
      </c>
      <c r="C237" s="62" t="s">
        <v>150</v>
      </c>
      <c r="D237" s="46" t="s">
        <v>861</v>
      </c>
      <c r="E237" s="70">
        <v>200000</v>
      </c>
      <c r="F237" s="46" t="s">
        <v>229</v>
      </c>
      <c r="G237" s="56" t="s">
        <v>11</v>
      </c>
      <c r="H237" s="56" t="s">
        <v>9</v>
      </c>
      <c r="I237" s="56" t="s">
        <v>10</v>
      </c>
      <c r="J237" s="56">
        <v>44319</v>
      </c>
      <c r="K237" s="59" t="s">
        <v>298</v>
      </c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</row>
    <row r="238" spans="1:31" ht="15.75" customHeight="1">
      <c r="A238" s="60">
        <v>44200</v>
      </c>
      <c r="B238" s="61" t="s">
        <v>875</v>
      </c>
      <c r="C238" s="62" t="s">
        <v>150</v>
      </c>
      <c r="D238" s="46" t="s">
        <v>861</v>
      </c>
      <c r="E238" s="58">
        <v>1500</v>
      </c>
      <c r="F238" s="46" t="s">
        <v>217</v>
      </c>
      <c r="G238" s="56" t="s">
        <v>107</v>
      </c>
      <c r="H238" s="56" t="s">
        <v>12</v>
      </c>
      <c r="I238" s="56" t="s">
        <v>153</v>
      </c>
      <c r="J238" s="56">
        <v>43559</v>
      </c>
      <c r="K238" s="59" t="s">
        <v>382</v>
      </c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</row>
    <row r="239" spans="1:31" ht="15.75" customHeight="1">
      <c r="A239" s="60">
        <v>44200</v>
      </c>
      <c r="B239" s="61" t="s">
        <v>860</v>
      </c>
      <c r="C239" s="62" t="s">
        <v>150</v>
      </c>
      <c r="D239" s="46" t="s">
        <v>861</v>
      </c>
      <c r="E239" s="58">
        <v>10000</v>
      </c>
      <c r="F239" s="46" t="s">
        <v>270</v>
      </c>
      <c r="G239" s="56" t="s">
        <v>107</v>
      </c>
      <c r="H239" s="56" t="s">
        <v>12</v>
      </c>
      <c r="I239" s="56" t="s">
        <v>108</v>
      </c>
      <c r="J239" s="56">
        <v>43675</v>
      </c>
      <c r="K239" s="59" t="s">
        <v>382</v>
      </c>
      <c r="L239" s="73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</row>
    <row r="240" spans="1:31" ht="15.75" customHeight="1">
      <c r="A240" s="60">
        <v>44200</v>
      </c>
      <c r="B240" s="61" t="s">
        <v>869</v>
      </c>
      <c r="C240" s="62" t="s">
        <v>150</v>
      </c>
      <c r="D240" s="46" t="s">
        <v>861</v>
      </c>
      <c r="E240" s="58">
        <v>15000</v>
      </c>
      <c r="F240" s="46" t="s">
        <v>101</v>
      </c>
      <c r="G240" s="56" t="s">
        <v>107</v>
      </c>
      <c r="H240" s="56" t="s">
        <v>12</v>
      </c>
      <c r="I240" s="56" t="s">
        <v>108</v>
      </c>
      <c r="J240" s="56">
        <v>43605</v>
      </c>
      <c r="K240" s="59" t="s">
        <v>302</v>
      </c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</row>
    <row r="241" spans="1:47" ht="15.75" customHeight="1">
      <c r="A241" s="60">
        <v>44201</v>
      </c>
      <c r="B241" s="61" t="s">
        <v>867</v>
      </c>
      <c r="C241" s="62" t="s">
        <v>150</v>
      </c>
      <c r="D241" s="46" t="s">
        <v>861</v>
      </c>
      <c r="E241" s="65">
        <v>100638.85</v>
      </c>
      <c r="F241" s="46" t="s">
        <v>206</v>
      </c>
      <c r="G241" s="56" t="s">
        <v>107</v>
      </c>
      <c r="H241" s="56" t="s">
        <v>12</v>
      </c>
      <c r="I241" s="56" t="s">
        <v>108</v>
      </c>
      <c r="J241" s="56">
        <v>43703</v>
      </c>
      <c r="K241" s="59" t="s">
        <v>382</v>
      </c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</row>
    <row r="242" spans="1:47" ht="15.75" customHeight="1">
      <c r="A242" s="60">
        <v>44201</v>
      </c>
      <c r="B242" s="61" t="s">
        <v>917</v>
      </c>
      <c r="C242" s="62" t="s">
        <v>14</v>
      </c>
      <c r="D242" s="46" t="s">
        <v>861</v>
      </c>
      <c r="E242" s="58">
        <v>5000</v>
      </c>
      <c r="F242" s="46" t="s">
        <v>435</v>
      </c>
      <c r="G242" s="46" t="s">
        <v>107</v>
      </c>
      <c r="H242" s="46" t="s">
        <v>12</v>
      </c>
      <c r="I242" s="46" t="s">
        <v>107</v>
      </c>
      <c r="J242" s="56">
        <v>43901</v>
      </c>
      <c r="K242" s="63" t="s">
        <v>295</v>
      </c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</row>
    <row r="243" spans="1:47" ht="15.75" customHeight="1">
      <c r="A243" s="60">
        <v>44201</v>
      </c>
      <c r="B243" s="61" t="s">
        <v>934</v>
      </c>
      <c r="C243" s="62" t="s">
        <v>14</v>
      </c>
      <c r="D243" s="46" t="s">
        <v>861</v>
      </c>
      <c r="E243" s="58">
        <v>13400</v>
      </c>
      <c r="F243" s="46" t="s">
        <v>340</v>
      </c>
      <c r="G243" s="46" t="s">
        <v>107</v>
      </c>
      <c r="H243" s="46" t="s">
        <v>12</v>
      </c>
      <c r="I243" s="46" t="s">
        <v>107</v>
      </c>
      <c r="J243" s="56">
        <v>43847</v>
      </c>
      <c r="K243" s="63" t="s">
        <v>298</v>
      </c>
      <c r="L243" s="74"/>
      <c r="M243" s="73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</row>
    <row r="244" spans="1:47" ht="15.75" customHeight="1">
      <c r="A244" s="60">
        <v>44202</v>
      </c>
      <c r="B244" s="67" t="s">
        <v>935</v>
      </c>
      <c r="C244" s="62" t="s">
        <v>150</v>
      </c>
      <c r="D244" s="46" t="s">
        <v>54</v>
      </c>
      <c r="E244" s="58">
        <v>5000</v>
      </c>
      <c r="F244" s="46" t="s">
        <v>250</v>
      </c>
      <c r="G244" s="56" t="s">
        <v>107</v>
      </c>
      <c r="H244" s="56" t="s">
        <v>12</v>
      </c>
      <c r="I244" s="56" t="s">
        <v>153</v>
      </c>
      <c r="J244" s="56">
        <v>43795</v>
      </c>
      <c r="K244" s="59" t="s">
        <v>302</v>
      </c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</row>
    <row r="245" spans="1:47" ht="15.75" customHeight="1">
      <c r="A245" s="60">
        <v>44207</v>
      </c>
      <c r="B245" s="61" t="s">
        <v>883</v>
      </c>
      <c r="C245" s="62" t="s">
        <v>150</v>
      </c>
      <c r="D245" s="46" t="s">
        <v>861</v>
      </c>
      <c r="E245" s="58">
        <v>14000</v>
      </c>
      <c r="F245" s="46" t="s">
        <v>113</v>
      </c>
      <c r="G245" s="56" t="s">
        <v>107</v>
      </c>
      <c r="H245" s="56" t="s">
        <v>12</v>
      </c>
      <c r="I245" s="56" t="s">
        <v>108</v>
      </c>
      <c r="J245" s="56">
        <v>43894</v>
      </c>
      <c r="K245" s="59" t="s">
        <v>302</v>
      </c>
      <c r="L245" s="73"/>
      <c r="M245" s="74"/>
      <c r="N245" s="73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</row>
    <row r="246" spans="1:47" ht="15.75" customHeight="1">
      <c r="A246" s="60">
        <v>44208</v>
      </c>
      <c r="B246" s="67" t="s">
        <v>867</v>
      </c>
      <c r="C246" s="62" t="s">
        <v>150</v>
      </c>
      <c r="D246" s="46" t="s">
        <v>861</v>
      </c>
      <c r="E246" s="58">
        <v>10000</v>
      </c>
      <c r="F246" s="46" t="s">
        <v>206</v>
      </c>
      <c r="G246" s="56" t="s">
        <v>107</v>
      </c>
      <c r="H246" s="56" t="s">
        <v>12</v>
      </c>
      <c r="I246" s="56" t="s">
        <v>108</v>
      </c>
      <c r="J246" s="56">
        <v>43703</v>
      </c>
      <c r="K246" s="59" t="s">
        <v>382</v>
      </c>
      <c r="L246" s="75"/>
      <c r="M246" s="73"/>
      <c r="N246" s="74"/>
      <c r="O246" s="73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</row>
    <row r="247" spans="1:47" ht="15.75" customHeight="1">
      <c r="A247" s="60">
        <v>44209</v>
      </c>
      <c r="B247" s="61" t="s">
        <v>888</v>
      </c>
      <c r="C247" s="62" t="s">
        <v>150</v>
      </c>
      <c r="D247" s="46" t="s">
        <v>861</v>
      </c>
      <c r="E247" s="58">
        <v>24000</v>
      </c>
      <c r="F247" s="46" t="s">
        <v>106</v>
      </c>
      <c r="G247" s="56" t="s">
        <v>107</v>
      </c>
      <c r="H247" s="56" t="s">
        <v>12</v>
      </c>
      <c r="I247" s="56" t="s">
        <v>108</v>
      </c>
      <c r="J247" s="56">
        <v>43564</v>
      </c>
      <c r="K247" s="59" t="s">
        <v>304</v>
      </c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</row>
    <row r="248" spans="1:47" ht="15.75" customHeight="1">
      <c r="A248" s="60">
        <v>44211</v>
      </c>
      <c r="B248" s="61" t="s">
        <v>936</v>
      </c>
      <c r="C248" s="62" t="s">
        <v>150</v>
      </c>
      <c r="D248" s="46" t="s">
        <v>54</v>
      </c>
      <c r="E248" s="71">
        <v>100832.44</v>
      </c>
      <c r="F248" s="46" t="s">
        <v>169</v>
      </c>
      <c r="G248" s="56" t="s">
        <v>107</v>
      </c>
      <c r="H248" s="56" t="s">
        <v>12</v>
      </c>
      <c r="I248" s="56" t="s">
        <v>108</v>
      </c>
      <c r="J248" s="56">
        <v>43725</v>
      </c>
      <c r="K248" s="59" t="s">
        <v>382</v>
      </c>
      <c r="L248" s="73"/>
      <c r="M248" s="75"/>
      <c r="N248" s="73"/>
      <c r="O248" s="74"/>
      <c r="P248" s="73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</row>
    <row r="249" spans="1:47" ht="15.75" customHeight="1">
      <c r="A249" s="60">
        <v>44215</v>
      </c>
      <c r="B249" s="67" t="s">
        <v>869</v>
      </c>
      <c r="C249" s="62" t="s">
        <v>150</v>
      </c>
      <c r="D249" s="46" t="s">
        <v>861</v>
      </c>
      <c r="E249" s="58">
        <v>50000</v>
      </c>
      <c r="F249" s="46" t="s">
        <v>101</v>
      </c>
      <c r="G249" s="56" t="s">
        <v>107</v>
      </c>
      <c r="H249" s="56" t="s">
        <v>12</v>
      </c>
      <c r="I249" s="56" t="s">
        <v>108</v>
      </c>
      <c r="J249" s="56">
        <v>43605</v>
      </c>
      <c r="K249" s="59" t="s">
        <v>302</v>
      </c>
      <c r="L249" s="73"/>
      <c r="M249" s="73"/>
      <c r="N249" s="75"/>
      <c r="O249" s="73"/>
      <c r="P249" s="74"/>
      <c r="Q249" s="73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</row>
    <row r="250" spans="1:47" ht="15.75" customHeight="1">
      <c r="A250" s="60">
        <v>44217</v>
      </c>
      <c r="B250" s="61" t="s">
        <v>937</v>
      </c>
      <c r="C250" s="62" t="s">
        <v>150</v>
      </c>
      <c r="D250" s="46" t="s">
        <v>861</v>
      </c>
      <c r="E250" s="58">
        <v>30000</v>
      </c>
      <c r="F250" s="46" t="s">
        <v>284</v>
      </c>
      <c r="G250" s="56" t="s">
        <v>107</v>
      </c>
      <c r="H250" s="56" t="s">
        <v>12</v>
      </c>
      <c r="I250" s="56" t="s">
        <v>153</v>
      </c>
      <c r="J250" s="56">
        <v>43822</v>
      </c>
      <c r="K250" s="59" t="s">
        <v>302</v>
      </c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</row>
    <row r="251" spans="1:47" ht="15.75" customHeight="1">
      <c r="A251" s="60">
        <v>44218</v>
      </c>
      <c r="B251" s="61" t="s">
        <v>888</v>
      </c>
      <c r="C251" s="62" t="s">
        <v>150</v>
      </c>
      <c r="D251" s="46" t="s">
        <v>861</v>
      </c>
      <c r="E251" s="58">
        <v>13000</v>
      </c>
      <c r="F251" s="46" t="s">
        <v>106</v>
      </c>
      <c r="G251" s="56" t="s">
        <v>107</v>
      </c>
      <c r="H251" s="56" t="s">
        <v>12</v>
      </c>
      <c r="I251" s="56" t="s">
        <v>108</v>
      </c>
      <c r="J251" s="56">
        <v>43564</v>
      </c>
      <c r="K251" s="59" t="s">
        <v>304</v>
      </c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</row>
    <row r="252" spans="1:47" ht="15.75" customHeight="1">
      <c r="A252" s="60">
        <v>44221</v>
      </c>
      <c r="B252" s="61" t="s">
        <v>869</v>
      </c>
      <c r="C252" s="62" t="s">
        <v>150</v>
      </c>
      <c r="D252" s="46" t="s">
        <v>861</v>
      </c>
      <c r="E252" s="58">
        <v>5000</v>
      </c>
      <c r="F252" s="46" t="s">
        <v>101</v>
      </c>
      <c r="G252" s="56" t="s">
        <v>107</v>
      </c>
      <c r="H252" s="56" t="s">
        <v>12</v>
      </c>
      <c r="I252" s="56" t="s">
        <v>108</v>
      </c>
      <c r="J252" s="56">
        <v>43605</v>
      </c>
      <c r="K252" s="59" t="s">
        <v>302</v>
      </c>
      <c r="L252" s="73"/>
      <c r="M252" s="73"/>
      <c r="N252" s="73"/>
      <c r="O252" s="75"/>
      <c r="P252" s="73"/>
      <c r="Q252" s="74"/>
      <c r="R252" s="73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</row>
    <row r="253" spans="1:47" ht="15.75" customHeight="1">
      <c r="A253" s="60">
        <v>44223</v>
      </c>
      <c r="B253" s="61" t="s">
        <v>867</v>
      </c>
      <c r="C253" s="62" t="s">
        <v>150</v>
      </c>
      <c r="D253" s="46" t="s">
        <v>861</v>
      </c>
      <c r="E253" s="58">
        <v>3000</v>
      </c>
      <c r="F253" s="46" t="s">
        <v>206</v>
      </c>
      <c r="G253" s="56" t="s">
        <v>107</v>
      </c>
      <c r="H253" s="56" t="s">
        <v>12</v>
      </c>
      <c r="I253" s="56" t="s">
        <v>108</v>
      </c>
      <c r="J253" s="56">
        <v>43703</v>
      </c>
      <c r="K253" s="59" t="s">
        <v>382</v>
      </c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</row>
    <row r="254" spans="1:47" ht="15.75" customHeight="1">
      <c r="A254" s="60">
        <v>44228</v>
      </c>
      <c r="B254" s="61" t="s">
        <v>860</v>
      </c>
      <c r="C254" s="62" t="s">
        <v>150</v>
      </c>
      <c r="D254" s="46" t="s">
        <v>861</v>
      </c>
      <c r="E254" s="58">
        <v>37000</v>
      </c>
      <c r="F254" s="46" t="s">
        <v>270</v>
      </c>
      <c r="G254" s="56" t="s">
        <v>107</v>
      </c>
      <c r="H254" s="56" t="s">
        <v>12</v>
      </c>
      <c r="I254" s="56" t="s">
        <v>108</v>
      </c>
      <c r="J254" s="56">
        <v>43675</v>
      </c>
      <c r="K254" s="59" t="s">
        <v>382</v>
      </c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</row>
    <row r="255" spans="1:47" ht="15.75" customHeight="1">
      <c r="A255" s="56">
        <v>44229</v>
      </c>
      <c r="B255" s="57" t="s">
        <v>938</v>
      </c>
      <c r="C255" s="46" t="s">
        <v>14</v>
      </c>
      <c r="D255" s="46" t="s">
        <v>237</v>
      </c>
      <c r="E255" s="58">
        <v>0</v>
      </c>
      <c r="F255" s="46" t="s">
        <v>436</v>
      </c>
      <c r="G255" s="46" t="s">
        <v>11</v>
      </c>
      <c r="H255" s="46" t="s">
        <v>12</v>
      </c>
      <c r="I255" s="46" t="s">
        <v>297</v>
      </c>
      <c r="J255" s="56">
        <v>44167</v>
      </c>
      <c r="K255" s="63" t="s">
        <v>304</v>
      </c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</row>
    <row r="256" spans="1:47" ht="15.75" customHeight="1">
      <c r="A256" s="60">
        <v>44229</v>
      </c>
      <c r="B256" s="61" t="s">
        <v>922</v>
      </c>
      <c r="C256" s="62" t="s">
        <v>150</v>
      </c>
      <c r="D256" s="46" t="s">
        <v>861</v>
      </c>
      <c r="E256" s="58">
        <v>49992.45</v>
      </c>
      <c r="F256" s="46" t="s">
        <v>246</v>
      </c>
      <c r="G256" s="56" t="s">
        <v>107</v>
      </c>
      <c r="H256" s="56" t="s">
        <v>12</v>
      </c>
      <c r="I256" s="56" t="s">
        <v>108</v>
      </c>
      <c r="J256" s="56">
        <v>43873</v>
      </c>
      <c r="K256" s="59" t="s">
        <v>298</v>
      </c>
      <c r="L256" s="73"/>
      <c r="M256" s="73"/>
      <c r="N256" s="73"/>
      <c r="O256" s="75"/>
      <c r="P256" s="73"/>
      <c r="Q256" s="74"/>
      <c r="R256" s="73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</row>
    <row r="257" spans="1:47" ht="15.75" customHeight="1">
      <c r="A257" s="60">
        <v>44230</v>
      </c>
      <c r="B257" s="61" t="s">
        <v>863</v>
      </c>
      <c r="C257" s="62" t="s">
        <v>14</v>
      </c>
      <c r="D257" s="46" t="s">
        <v>861</v>
      </c>
      <c r="E257" s="58">
        <v>80000</v>
      </c>
      <c r="F257" s="46" t="s">
        <v>514</v>
      </c>
      <c r="G257" s="46" t="s">
        <v>107</v>
      </c>
      <c r="H257" s="46" t="s">
        <v>12</v>
      </c>
      <c r="I257" s="46" t="s">
        <v>107</v>
      </c>
      <c r="J257" s="56">
        <v>43749</v>
      </c>
      <c r="K257" s="63" t="s">
        <v>382</v>
      </c>
      <c r="L257" s="73"/>
      <c r="M257" s="73"/>
      <c r="N257" s="73"/>
      <c r="O257" s="73"/>
      <c r="P257" s="75"/>
      <c r="Q257" s="73"/>
      <c r="R257" s="74"/>
      <c r="S257" s="73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</row>
    <row r="258" spans="1:47" ht="15.75" customHeight="1">
      <c r="A258" s="60">
        <v>44230</v>
      </c>
      <c r="B258" s="61" t="s">
        <v>914</v>
      </c>
      <c r="C258" s="62" t="s">
        <v>14</v>
      </c>
      <c r="D258" s="46" t="s">
        <v>861</v>
      </c>
      <c r="E258" s="58">
        <v>5000</v>
      </c>
      <c r="F258" s="46" t="s">
        <v>508</v>
      </c>
      <c r="G258" s="46" t="s">
        <v>107</v>
      </c>
      <c r="H258" s="46" t="s">
        <v>12</v>
      </c>
      <c r="I258" s="46" t="s">
        <v>107</v>
      </c>
      <c r="J258" s="56">
        <v>44043</v>
      </c>
      <c r="K258" s="63" t="s">
        <v>298</v>
      </c>
      <c r="L258" s="73"/>
      <c r="M258" s="73"/>
      <c r="N258" s="73"/>
      <c r="O258" s="73"/>
      <c r="P258" s="73"/>
      <c r="Q258" s="75"/>
      <c r="R258" s="73"/>
      <c r="S258" s="74"/>
      <c r="T258" s="73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</row>
    <row r="259" spans="1:47" ht="15.75" customHeight="1">
      <c r="A259" s="60">
        <v>44230</v>
      </c>
      <c r="B259" s="61" t="s">
        <v>893</v>
      </c>
      <c r="C259" s="62" t="s">
        <v>150</v>
      </c>
      <c r="D259" s="46" t="s">
        <v>861</v>
      </c>
      <c r="E259" s="58">
        <v>100000</v>
      </c>
      <c r="F259" s="46" t="s">
        <v>200</v>
      </c>
      <c r="G259" s="56" t="s">
        <v>107</v>
      </c>
      <c r="H259" s="56" t="s">
        <v>12</v>
      </c>
      <c r="I259" s="56" t="s">
        <v>108</v>
      </c>
      <c r="J259" s="56">
        <v>43888</v>
      </c>
      <c r="K259" s="59" t="s">
        <v>298</v>
      </c>
      <c r="L259" s="73"/>
      <c r="M259" s="73"/>
      <c r="N259" s="73"/>
      <c r="O259" s="73"/>
      <c r="P259" s="73"/>
      <c r="Q259" s="75"/>
      <c r="R259" s="73"/>
      <c r="S259" s="74"/>
      <c r="T259" s="73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</row>
    <row r="260" spans="1:47" ht="15.75" customHeight="1">
      <c r="A260" s="60">
        <v>44235</v>
      </c>
      <c r="B260" s="61" t="s">
        <v>144</v>
      </c>
      <c r="C260" s="62" t="s">
        <v>120</v>
      </c>
      <c r="D260" s="46" t="s">
        <v>861</v>
      </c>
      <c r="E260" s="58">
        <v>75000</v>
      </c>
      <c r="F260" s="46" t="s">
        <v>143</v>
      </c>
      <c r="G260" s="56" t="s">
        <v>11</v>
      </c>
      <c r="H260" s="56" t="s">
        <v>12</v>
      </c>
      <c r="I260" s="56" t="s">
        <v>88</v>
      </c>
      <c r="J260" s="56">
        <v>43797</v>
      </c>
      <c r="K260" s="59" t="s">
        <v>302</v>
      </c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</row>
    <row r="261" spans="1:47" ht="15.75" customHeight="1">
      <c r="A261" s="60">
        <v>44236</v>
      </c>
      <c r="B261" s="61" t="s">
        <v>939</v>
      </c>
      <c r="C261" s="62" t="s">
        <v>14</v>
      </c>
      <c r="D261" s="46" t="s">
        <v>861</v>
      </c>
      <c r="E261" s="58">
        <v>40000</v>
      </c>
      <c r="F261" s="46" t="s">
        <v>371</v>
      </c>
      <c r="G261" s="46" t="s">
        <v>11</v>
      </c>
      <c r="H261" s="46" t="s">
        <v>12</v>
      </c>
      <c r="I261" s="46" t="s">
        <v>372</v>
      </c>
      <c r="J261" s="56">
        <v>44089</v>
      </c>
      <c r="K261" s="63" t="s">
        <v>301</v>
      </c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 t="s">
        <v>237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</row>
    <row r="262" spans="1:47" ht="15.75" customHeight="1">
      <c r="A262" s="60">
        <v>44237</v>
      </c>
      <c r="B262" s="61" t="s">
        <v>917</v>
      </c>
      <c r="C262" s="62" t="s">
        <v>14</v>
      </c>
      <c r="D262" s="46" t="s">
        <v>861</v>
      </c>
      <c r="E262" s="58">
        <v>60000</v>
      </c>
      <c r="F262" s="46" t="s">
        <v>435</v>
      </c>
      <c r="G262" s="46" t="s">
        <v>107</v>
      </c>
      <c r="H262" s="46" t="s">
        <v>12</v>
      </c>
      <c r="I262" s="46" t="s">
        <v>107</v>
      </c>
      <c r="J262" s="56">
        <v>43901</v>
      </c>
      <c r="K262" s="63" t="s">
        <v>295</v>
      </c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 t="s">
        <v>54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</row>
    <row r="263" spans="1:47" ht="15.75" customHeight="1">
      <c r="A263" s="60">
        <v>44239</v>
      </c>
      <c r="B263" s="61" t="s">
        <v>940</v>
      </c>
      <c r="C263" s="62" t="s">
        <v>150</v>
      </c>
      <c r="D263" s="46" t="s">
        <v>861</v>
      </c>
      <c r="E263" s="58">
        <v>0</v>
      </c>
      <c r="F263" s="46" t="s">
        <v>189</v>
      </c>
      <c r="G263" s="56" t="s">
        <v>107</v>
      </c>
      <c r="H263" s="56" t="s">
        <v>12</v>
      </c>
      <c r="I263" s="56" t="s">
        <v>108</v>
      </c>
      <c r="J263" s="56">
        <v>43888</v>
      </c>
      <c r="K263" s="59" t="s">
        <v>302</v>
      </c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 t="s">
        <v>861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</row>
    <row r="264" spans="1:47" ht="15.75" customHeight="1">
      <c r="A264" s="60">
        <v>44246</v>
      </c>
      <c r="B264" s="61" t="s">
        <v>941</v>
      </c>
      <c r="C264" s="62" t="s">
        <v>14</v>
      </c>
      <c r="D264" s="46" t="s">
        <v>861</v>
      </c>
      <c r="E264" s="58">
        <v>147535.35999999999</v>
      </c>
      <c r="F264" s="46" t="s">
        <v>313</v>
      </c>
      <c r="G264" s="46" t="s">
        <v>107</v>
      </c>
      <c r="H264" s="46" t="s">
        <v>12</v>
      </c>
      <c r="I264" s="46" t="s">
        <v>107</v>
      </c>
      <c r="J264" s="56">
        <v>44180</v>
      </c>
      <c r="K264" s="63" t="s">
        <v>298</v>
      </c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</row>
    <row r="265" spans="1:47" ht="15.75" customHeight="1">
      <c r="A265" s="60">
        <v>44246</v>
      </c>
      <c r="B265" s="61" t="s">
        <v>882</v>
      </c>
      <c r="C265" s="62" t="s">
        <v>150</v>
      </c>
      <c r="D265" s="46" t="s">
        <v>861</v>
      </c>
      <c r="E265" s="58">
        <v>10000</v>
      </c>
      <c r="F265" s="46" t="s">
        <v>280</v>
      </c>
      <c r="G265" s="56" t="s">
        <v>107</v>
      </c>
      <c r="H265" s="56" t="s">
        <v>12</v>
      </c>
      <c r="I265" s="56" t="s">
        <v>108</v>
      </c>
      <c r="J265" s="56">
        <v>43717</v>
      </c>
      <c r="K265" s="59" t="s">
        <v>382</v>
      </c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</row>
    <row r="266" spans="1:47" ht="15.75" customHeight="1">
      <c r="A266" s="60">
        <v>44251</v>
      </c>
      <c r="B266" s="61" t="s">
        <v>942</v>
      </c>
      <c r="C266" s="62" t="s">
        <v>150</v>
      </c>
      <c r="D266" s="46" t="s">
        <v>861</v>
      </c>
      <c r="E266" s="58">
        <v>7000</v>
      </c>
      <c r="F266" s="46" t="s">
        <v>111</v>
      </c>
      <c r="G266" s="56" t="s">
        <v>11</v>
      </c>
      <c r="H266" s="56" t="s">
        <v>12</v>
      </c>
      <c r="I266" s="56" t="s">
        <v>125</v>
      </c>
      <c r="J266" s="56">
        <v>43417</v>
      </c>
      <c r="K266" s="59" t="s">
        <v>543</v>
      </c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</row>
    <row r="267" spans="1:47" ht="15.75" customHeight="1">
      <c r="A267" s="56">
        <v>44252</v>
      </c>
      <c r="B267" s="57" t="s">
        <v>872</v>
      </c>
      <c r="C267" s="46" t="s">
        <v>14</v>
      </c>
      <c r="D267" s="46" t="s">
        <v>237</v>
      </c>
      <c r="E267" s="58">
        <v>0</v>
      </c>
      <c r="F267" s="46" t="s">
        <v>457</v>
      </c>
      <c r="G267" s="46" t="s">
        <v>107</v>
      </c>
      <c r="H267" s="46" t="s">
        <v>12</v>
      </c>
      <c r="I267" s="46" t="s">
        <v>107</v>
      </c>
      <c r="J267" s="56">
        <v>44252</v>
      </c>
      <c r="K267" s="63" t="s">
        <v>302</v>
      </c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</row>
    <row r="268" spans="1:47" ht="15.75" customHeight="1">
      <c r="A268" s="60">
        <v>44252</v>
      </c>
      <c r="B268" s="61" t="s">
        <v>880</v>
      </c>
      <c r="C268" s="62" t="s">
        <v>14</v>
      </c>
      <c r="D268" s="46" t="s">
        <v>861</v>
      </c>
      <c r="E268" s="58">
        <v>359512.5</v>
      </c>
      <c r="F268" s="46" t="s">
        <v>525</v>
      </c>
      <c r="G268" s="46" t="s">
        <v>107</v>
      </c>
      <c r="H268" s="46" t="s">
        <v>12</v>
      </c>
      <c r="I268" s="46" t="s">
        <v>107</v>
      </c>
      <c r="J268" s="56">
        <v>44225</v>
      </c>
      <c r="K268" s="63" t="s">
        <v>298</v>
      </c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</row>
    <row r="269" spans="1:47" ht="15.75" customHeight="1">
      <c r="A269" s="60">
        <v>44252</v>
      </c>
      <c r="B269" s="61" t="s">
        <v>863</v>
      </c>
      <c r="C269" s="62" t="s">
        <v>14</v>
      </c>
      <c r="D269" s="46" t="s">
        <v>861</v>
      </c>
      <c r="E269" s="58">
        <v>0</v>
      </c>
      <c r="F269" s="46" t="s">
        <v>514</v>
      </c>
      <c r="G269" s="46" t="s">
        <v>107</v>
      </c>
      <c r="H269" s="46" t="s">
        <v>12</v>
      </c>
      <c r="I269" s="46" t="s">
        <v>107</v>
      </c>
      <c r="J269" s="56">
        <v>43749</v>
      </c>
      <c r="K269" s="63" t="s">
        <v>382</v>
      </c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</row>
    <row r="270" spans="1:47" ht="15.75" customHeight="1">
      <c r="A270" s="60">
        <v>44252</v>
      </c>
      <c r="B270" s="61" t="s">
        <v>914</v>
      </c>
      <c r="C270" s="62" t="s">
        <v>14</v>
      </c>
      <c r="D270" s="46" t="s">
        <v>861</v>
      </c>
      <c r="E270" s="58">
        <v>30000</v>
      </c>
      <c r="F270" s="46" t="s">
        <v>508</v>
      </c>
      <c r="G270" s="46" t="s">
        <v>107</v>
      </c>
      <c r="H270" s="46" t="s">
        <v>12</v>
      </c>
      <c r="I270" s="46" t="s">
        <v>107</v>
      </c>
      <c r="J270" s="56">
        <v>44043</v>
      </c>
      <c r="K270" s="63" t="s">
        <v>298</v>
      </c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</row>
    <row r="271" spans="1:47" ht="15.75" customHeight="1">
      <c r="A271" s="56">
        <v>44253</v>
      </c>
      <c r="B271" s="57" t="s">
        <v>943</v>
      </c>
      <c r="C271" s="46" t="s">
        <v>14</v>
      </c>
      <c r="D271" s="46" t="s">
        <v>237</v>
      </c>
      <c r="E271" s="58">
        <v>0</v>
      </c>
      <c r="F271" s="46" t="s">
        <v>370</v>
      </c>
      <c r="G271" s="46" t="s">
        <v>24</v>
      </c>
      <c r="H271" s="46" t="s">
        <v>12</v>
      </c>
      <c r="I271" s="46" t="s">
        <v>30</v>
      </c>
      <c r="J271" s="56">
        <v>44183</v>
      </c>
      <c r="K271" s="63" t="s">
        <v>298</v>
      </c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</row>
    <row r="272" spans="1:47" ht="15.75" customHeight="1">
      <c r="A272" s="60">
        <v>44253</v>
      </c>
      <c r="B272" s="61" t="s">
        <v>944</v>
      </c>
      <c r="C272" s="62" t="s">
        <v>14</v>
      </c>
      <c r="D272" s="46" t="s">
        <v>861</v>
      </c>
      <c r="E272" s="58">
        <v>600000</v>
      </c>
      <c r="F272" s="46" t="s">
        <v>455</v>
      </c>
      <c r="G272" s="46" t="s">
        <v>24</v>
      </c>
      <c r="H272" s="46" t="s">
        <v>12</v>
      </c>
      <c r="I272" s="46" t="s">
        <v>358</v>
      </c>
      <c r="J272" s="56">
        <v>44067</v>
      </c>
      <c r="K272" s="63" t="s">
        <v>304</v>
      </c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</row>
    <row r="273" spans="1:47" ht="15.75" customHeight="1">
      <c r="A273" s="60">
        <v>44253</v>
      </c>
      <c r="B273" s="61" t="s">
        <v>943</v>
      </c>
      <c r="C273" s="62" t="s">
        <v>14</v>
      </c>
      <c r="D273" s="46" t="s">
        <v>861</v>
      </c>
      <c r="E273" s="58">
        <v>33961.75</v>
      </c>
      <c r="F273" s="46" t="s">
        <v>370</v>
      </c>
      <c r="G273" s="46" t="s">
        <v>24</v>
      </c>
      <c r="H273" s="46" t="s">
        <v>12</v>
      </c>
      <c r="I273" s="46" t="s">
        <v>30</v>
      </c>
      <c r="J273" s="56">
        <v>44183</v>
      </c>
      <c r="K273" s="63" t="s">
        <v>298</v>
      </c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</row>
    <row r="274" spans="1:47" ht="15.75" customHeight="1">
      <c r="A274" s="60">
        <v>44258</v>
      </c>
      <c r="B274" s="61" t="s">
        <v>875</v>
      </c>
      <c r="C274" s="62" t="s">
        <v>150</v>
      </c>
      <c r="D274" s="46" t="s">
        <v>861</v>
      </c>
      <c r="E274" s="58">
        <v>47591.43</v>
      </c>
      <c r="F274" s="46" t="s">
        <v>217</v>
      </c>
      <c r="G274" s="56" t="s">
        <v>107</v>
      </c>
      <c r="H274" s="56" t="s">
        <v>12</v>
      </c>
      <c r="I274" s="56" t="s">
        <v>153</v>
      </c>
      <c r="J274" s="56">
        <v>43559</v>
      </c>
      <c r="K274" s="59" t="s">
        <v>382</v>
      </c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</row>
    <row r="275" spans="1:47" ht="15.75" customHeight="1">
      <c r="A275" s="60">
        <v>44258</v>
      </c>
      <c r="B275" s="61" t="s">
        <v>945</v>
      </c>
      <c r="C275" s="62" t="s">
        <v>150</v>
      </c>
      <c r="D275" s="46" t="s">
        <v>54</v>
      </c>
      <c r="E275" s="58">
        <v>5000</v>
      </c>
      <c r="F275" s="46" t="s">
        <v>181</v>
      </c>
      <c r="G275" s="56" t="s">
        <v>11</v>
      </c>
      <c r="H275" s="56" t="s">
        <v>12</v>
      </c>
      <c r="I275" s="56" t="s">
        <v>125</v>
      </c>
      <c r="J275" s="56">
        <v>43416</v>
      </c>
      <c r="K275" s="59" t="s">
        <v>304</v>
      </c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</row>
    <row r="276" spans="1:47" ht="15.75" customHeight="1">
      <c r="A276" s="60">
        <v>44258</v>
      </c>
      <c r="B276" s="61" t="s">
        <v>144</v>
      </c>
      <c r="C276" s="62" t="s">
        <v>120</v>
      </c>
      <c r="D276" s="46" t="s">
        <v>54</v>
      </c>
      <c r="E276" s="58">
        <v>721960.02</v>
      </c>
      <c r="F276" s="46" t="s">
        <v>143</v>
      </c>
      <c r="G276" s="56" t="s">
        <v>11</v>
      </c>
      <c r="H276" s="56" t="s">
        <v>12</v>
      </c>
      <c r="I276" s="56" t="s">
        <v>88</v>
      </c>
      <c r="J276" s="56">
        <v>43797</v>
      </c>
      <c r="K276" s="59" t="s">
        <v>302</v>
      </c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</row>
    <row r="277" spans="1:47" ht="15.75" customHeight="1">
      <c r="A277" s="60">
        <v>44260</v>
      </c>
      <c r="B277" s="61" t="s">
        <v>893</v>
      </c>
      <c r="C277" s="62" t="s">
        <v>150</v>
      </c>
      <c r="D277" s="46" t="s">
        <v>861</v>
      </c>
      <c r="E277" s="58">
        <v>50844.88</v>
      </c>
      <c r="F277" s="46" t="s">
        <v>200</v>
      </c>
      <c r="G277" s="56" t="s">
        <v>107</v>
      </c>
      <c r="H277" s="56" t="s">
        <v>12</v>
      </c>
      <c r="I277" s="56" t="s">
        <v>108</v>
      </c>
      <c r="J277" s="56">
        <v>43888</v>
      </c>
      <c r="K277" s="59" t="s">
        <v>298</v>
      </c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</row>
    <row r="278" spans="1:47" ht="15.75" customHeight="1">
      <c r="A278" s="60">
        <v>44263</v>
      </c>
      <c r="B278" s="61" t="s">
        <v>946</v>
      </c>
      <c r="C278" s="62" t="s">
        <v>150</v>
      </c>
      <c r="D278" s="46" t="s">
        <v>861</v>
      </c>
      <c r="E278" s="58">
        <v>20000</v>
      </c>
      <c r="F278" s="46" t="s">
        <v>219</v>
      </c>
      <c r="G278" s="56" t="s">
        <v>11</v>
      </c>
      <c r="H278" s="56" t="s">
        <v>12</v>
      </c>
      <c r="I278" s="56" t="s">
        <v>125</v>
      </c>
      <c r="J278" s="56">
        <v>43515</v>
      </c>
      <c r="K278" s="59" t="s">
        <v>304</v>
      </c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</row>
    <row r="279" spans="1:47" ht="15.75" customHeight="1">
      <c r="A279" s="56">
        <v>44264</v>
      </c>
      <c r="B279" s="57" t="s">
        <v>893</v>
      </c>
      <c r="C279" s="46" t="s">
        <v>150</v>
      </c>
      <c r="D279" s="46" t="s">
        <v>237</v>
      </c>
      <c r="E279" s="58">
        <v>111979.59</v>
      </c>
      <c r="F279" s="46" t="s">
        <v>200</v>
      </c>
      <c r="G279" s="56" t="s">
        <v>107</v>
      </c>
      <c r="H279" s="56" t="s">
        <v>12</v>
      </c>
      <c r="I279" s="56" t="s">
        <v>108</v>
      </c>
      <c r="J279" s="56">
        <v>43888</v>
      </c>
      <c r="K279" s="59" t="s">
        <v>298</v>
      </c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</row>
    <row r="280" spans="1:47" ht="15.75" customHeight="1">
      <c r="A280" s="60">
        <v>44264</v>
      </c>
      <c r="B280" s="61" t="s">
        <v>934</v>
      </c>
      <c r="C280" s="62" t="s">
        <v>14</v>
      </c>
      <c r="D280" s="46" t="s">
        <v>54</v>
      </c>
      <c r="E280" s="58">
        <v>100000</v>
      </c>
      <c r="F280" s="46" t="s">
        <v>340</v>
      </c>
      <c r="G280" s="46" t="s">
        <v>107</v>
      </c>
      <c r="H280" s="46" t="s">
        <v>12</v>
      </c>
      <c r="I280" s="46" t="s">
        <v>107</v>
      </c>
      <c r="J280" s="56">
        <v>43847</v>
      </c>
      <c r="K280" s="63" t="s">
        <v>298</v>
      </c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</row>
    <row r="281" spans="1:47" ht="15.75" customHeight="1">
      <c r="A281" s="60">
        <v>44264</v>
      </c>
      <c r="B281" s="61" t="s">
        <v>914</v>
      </c>
      <c r="C281" s="62" t="s">
        <v>14</v>
      </c>
      <c r="D281" s="46" t="s">
        <v>54</v>
      </c>
      <c r="E281" s="58">
        <v>900000</v>
      </c>
      <c r="F281" s="46" t="s">
        <v>508</v>
      </c>
      <c r="G281" s="46" t="s">
        <v>107</v>
      </c>
      <c r="H281" s="46" t="s">
        <v>12</v>
      </c>
      <c r="I281" s="46" t="s">
        <v>107</v>
      </c>
      <c r="J281" s="56">
        <v>44043</v>
      </c>
      <c r="K281" s="63" t="s">
        <v>298</v>
      </c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</row>
    <row r="282" spans="1:47" ht="15.75" customHeight="1">
      <c r="A282" s="60">
        <v>44264</v>
      </c>
      <c r="B282" s="61" t="s">
        <v>947</v>
      </c>
      <c r="C282" s="62" t="s">
        <v>14</v>
      </c>
      <c r="D282" s="46" t="s">
        <v>54</v>
      </c>
      <c r="E282" s="58">
        <v>13000</v>
      </c>
      <c r="F282" s="46" t="s">
        <v>454</v>
      </c>
      <c r="G282" s="46" t="s">
        <v>107</v>
      </c>
      <c r="H282" s="46" t="s">
        <v>12</v>
      </c>
      <c r="I282" s="46" t="s">
        <v>107</v>
      </c>
      <c r="J282" s="56">
        <v>44070</v>
      </c>
      <c r="K282" s="63" t="s">
        <v>295</v>
      </c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</row>
    <row r="283" spans="1:47" ht="15.75" customHeight="1">
      <c r="A283" s="56">
        <v>44270</v>
      </c>
      <c r="B283" s="57" t="s">
        <v>948</v>
      </c>
      <c r="C283" s="46" t="s">
        <v>14</v>
      </c>
      <c r="D283" s="46" t="s">
        <v>237</v>
      </c>
      <c r="E283" s="58">
        <v>0</v>
      </c>
      <c r="F283" s="46" t="s">
        <v>433</v>
      </c>
      <c r="G283" s="46" t="s">
        <v>24</v>
      </c>
      <c r="H283" s="46" t="s">
        <v>12</v>
      </c>
      <c r="I283" s="46" t="s">
        <v>949</v>
      </c>
      <c r="J283" s="56">
        <v>44160</v>
      </c>
      <c r="K283" s="63" t="s">
        <v>295</v>
      </c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</row>
    <row r="284" spans="1:47" ht="15.75" customHeight="1">
      <c r="A284" s="56">
        <v>44270</v>
      </c>
      <c r="B284" s="57" t="s">
        <v>950</v>
      </c>
      <c r="C284" s="46" t="s">
        <v>14</v>
      </c>
      <c r="D284" s="46" t="s">
        <v>237</v>
      </c>
      <c r="E284" s="58">
        <v>0</v>
      </c>
      <c r="F284" s="46" t="s">
        <v>518</v>
      </c>
      <c r="G284" s="46" t="s">
        <v>107</v>
      </c>
      <c r="H284" s="46" t="s">
        <v>12</v>
      </c>
      <c r="I284" s="46" t="s">
        <v>107</v>
      </c>
      <c r="J284" s="56">
        <v>44244</v>
      </c>
      <c r="K284" s="63" t="s">
        <v>298</v>
      </c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</row>
    <row r="285" spans="1:47" ht="15.75" customHeight="1">
      <c r="A285" s="60">
        <v>44270</v>
      </c>
      <c r="B285" s="61" t="s">
        <v>875</v>
      </c>
      <c r="C285" s="62" t="s">
        <v>150</v>
      </c>
      <c r="D285" s="46" t="s">
        <v>861</v>
      </c>
      <c r="E285" s="58">
        <v>100000</v>
      </c>
      <c r="F285" s="46" t="s">
        <v>217</v>
      </c>
      <c r="G285" s="56" t="s">
        <v>107</v>
      </c>
      <c r="H285" s="56" t="s">
        <v>12</v>
      </c>
      <c r="I285" s="56" t="s">
        <v>153</v>
      </c>
      <c r="J285" s="56">
        <v>43559</v>
      </c>
      <c r="K285" s="59" t="s">
        <v>382</v>
      </c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</row>
    <row r="286" spans="1:47" ht="15.75" customHeight="1">
      <c r="A286" s="60">
        <v>44274</v>
      </c>
      <c r="B286" s="61" t="s">
        <v>880</v>
      </c>
      <c r="C286" s="62" t="s">
        <v>14</v>
      </c>
      <c r="D286" s="46" t="s">
        <v>54</v>
      </c>
      <c r="E286" s="58">
        <v>12500</v>
      </c>
      <c r="F286" s="46" t="s">
        <v>525</v>
      </c>
      <c r="G286" s="46" t="s">
        <v>107</v>
      </c>
      <c r="H286" s="46" t="s">
        <v>12</v>
      </c>
      <c r="I286" s="46" t="s">
        <v>107</v>
      </c>
      <c r="J286" s="56">
        <v>44225</v>
      </c>
      <c r="K286" s="63" t="s">
        <v>298</v>
      </c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</row>
    <row r="287" spans="1:47" ht="15.75" customHeight="1">
      <c r="A287" s="60">
        <v>44277</v>
      </c>
      <c r="B287" s="61" t="s">
        <v>951</v>
      </c>
      <c r="C287" s="62" t="s">
        <v>14</v>
      </c>
      <c r="D287" s="46" t="s">
        <v>54</v>
      </c>
      <c r="E287" s="58">
        <v>10000</v>
      </c>
      <c r="F287" s="46" t="s">
        <v>547</v>
      </c>
      <c r="G287" s="46" t="s">
        <v>107</v>
      </c>
      <c r="H287" s="46" t="s">
        <v>12</v>
      </c>
      <c r="I287" s="46" t="s">
        <v>107</v>
      </c>
      <c r="J287" s="56">
        <v>44075</v>
      </c>
      <c r="K287" s="76" t="s">
        <v>298</v>
      </c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</row>
    <row r="288" spans="1:47" ht="15.75" customHeight="1">
      <c r="A288" s="60">
        <v>44277</v>
      </c>
      <c r="B288" s="61" t="s">
        <v>871</v>
      </c>
      <c r="C288" s="62" t="s">
        <v>150</v>
      </c>
      <c r="D288" s="46" t="s">
        <v>861</v>
      </c>
      <c r="E288" s="58">
        <v>96557.66</v>
      </c>
      <c r="F288" s="46" t="s">
        <v>180</v>
      </c>
      <c r="G288" s="56" t="s">
        <v>107</v>
      </c>
      <c r="H288" s="56" t="s">
        <v>12</v>
      </c>
      <c r="I288" s="56" t="s">
        <v>108</v>
      </c>
      <c r="J288" s="56">
        <v>43822</v>
      </c>
      <c r="K288" s="56" t="s">
        <v>302</v>
      </c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</row>
    <row r="289" spans="1:47" ht="15.75" customHeight="1">
      <c r="A289" s="60">
        <v>44278</v>
      </c>
      <c r="B289" s="61" t="s">
        <v>952</v>
      </c>
      <c r="C289" s="62" t="s">
        <v>150</v>
      </c>
      <c r="D289" s="46" t="s">
        <v>861</v>
      </c>
      <c r="E289" s="58">
        <v>120000</v>
      </c>
      <c r="F289" s="46" t="s">
        <v>257</v>
      </c>
      <c r="G289" s="56" t="s">
        <v>107</v>
      </c>
      <c r="H289" s="56" t="s">
        <v>12</v>
      </c>
      <c r="I289" s="56" t="s">
        <v>153</v>
      </c>
      <c r="J289" s="56">
        <v>43531</v>
      </c>
      <c r="K289" s="59" t="s">
        <v>382</v>
      </c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</row>
    <row r="290" spans="1:47" ht="15.75" customHeight="1">
      <c r="A290" s="60">
        <v>44279</v>
      </c>
      <c r="B290" s="61" t="s">
        <v>953</v>
      </c>
      <c r="C290" s="62" t="s">
        <v>150</v>
      </c>
      <c r="D290" s="46" t="s">
        <v>861</v>
      </c>
      <c r="E290" s="58">
        <v>5000</v>
      </c>
      <c r="F290" s="46" t="s">
        <v>954</v>
      </c>
      <c r="G290" s="56" t="s">
        <v>11</v>
      </c>
      <c r="H290" s="56" t="s">
        <v>9</v>
      </c>
      <c r="I290" s="56" t="s">
        <v>10</v>
      </c>
      <c r="J290" s="56">
        <v>44278</v>
      </c>
      <c r="K290" s="59" t="s">
        <v>298</v>
      </c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</row>
    <row r="291" spans="1:47" ht="15.75" customHeight="1">
      <c r="A291" s="60">
        <v>44279</v>
      </c>
      <c r="B291" s="61" t="s">
        <v>955</v>
      </c>
      <c r="C291" s="62" t="s">
        <v>14</v>
      </c>
      <c r="D291" s="46" t="s">
        <v>861</v>
      </c>
      <c r="E291" s="58">
        <v>7000</v>
      </c>
      <c r="F291" s="46" t="s">
        <v>545</v>
      </c>
      <c r="G291" s="46" t="s">
        <v>24</v>
      </c>
      <c r="H291" s="46" t="s">
        <v>12</v>
      </c>
      <c r="I291" s="46" t="s">
        <v>546</v>
      </c>
      <c r="J291" s="56">
        <v>44105</v>
      </c>
      <c r="K291" s="63" t="s">
        <v>304</v>
      </c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</row>
    <row r="292" spans="1:47" ht="15.75" customHeight="1">
      <c r="A292" s="60">
        <v>44280</v>
      </c>
      <c r="B292" s="61" t="s">
        <v>956</v>
      </c>
      <c r="C292" s="62" t="s">
        <v>150</v>
      </c>
      <c r="D292" s="46" t="s">
        <v>861</v>
      </c>
      <c r="E292" s="58">
        <v>153417.37</v>
      </c>
      <c r="F292" s="46" t="s">
        <v>174</v>
      </c>
      <c r="G292" s="56" t="s">
        <v>11</v>
      </c>
      <c r="H292" s="56" t="s">
        <v>9</v>
      </c>
      <c r="I292" s="56" t="s">
        <v>98</v>
      </c>
      <c r="J292" s="56">
        <v>44273</v>
      </c>
      <c r="K292" s="59" t="s">
        <v>298</v>
      </c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</row>
    <row r="293" spans="1:47" ht="15.75" customHeight="1">
      <c r="A293" s="60">
        <v>44280</v>
      </c>
      <c r="B293" s="61" t="s">
        <v>869</v>
      </c>
      <c r="C293" s="62" t="s">
        <v>150</v>
      </c>
      <c r="D293" s="46" t="s">
        <v>861</v>
      </c>
      <c r="E293" s="58">
        <v>15000</v>
      </c>
      <c r="F293" s="46" t="s">
        <v>101</v>
      </c>
      <c r="G293" s="56" t="s">
        <v>107</v>
      </c>
      <c r="H293" s="56" t="s">
        <v>12</v>
      </c>
      <c r="I293" s="56" t="s">
        <v>108</v>
      </c>
      <c r="J293" s="56">
        <v>43605</v>
      </c>
      <c r="K293" s="59" t="s">
        <v>302</v>
      </c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</row>
    <row r="294" spans="1:47" ht="15.75" customHeight="1">
      <c r="A294" s="60">
        <v>44280</v>
      </c>
      <c r="B294" s="61" t="s">
        <v>867</v>
      </c>
      <c r="C294" s="62" t="s">
        <v>150</v>
      </c>
      <c r="D294" s="46" t="s">
        <v>861</v>
      </c>
      <c r="E294" s="58">
        <v>20000</v>
      </c>
      <c r="F294" s="46" t="s">
        <v>206</v>
      </c>
      <c r="G294" s="56" t="s">
        <v>107</v>
      </c>
      <c r="H294" s="56" t="s">
        <v>12</v>
      </c>
      <c r="I294" s="56" t="s">
        <v>108</v>
      </c>
      <c r="J294" s="56">
        <v>43703</v>
      </c>
      <c r="K294" s="59" t="s">
        <v>382</v>
      </c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</row>
    <row r="295" spans="1:47" ht="15.75" customHeight="1">
      <c r="A295" s="56">
        <v>44281</v>
      </c>
      <c r="B295" s="57" t="s">
        <v>957</v>
      </c>
      <c r="C295" s="46" t="s">
        <v>14</v>
      </c>
      <c r="D295" s="46" t="s">
        <v>237</v>
      </c>
      <c r="E295" s="58">
        <v>0</v>
      </c>
      <c r="F295" s="46" t="s">
        <v>404</v>
      </c>
      <c r="G295" s="46" t="s">
        <v>24</v>
      </c>
      <c r="H295" s="46" t="s">
        <v>12</v>
      </c>
      <c r="I295" s="46" t="s">
        <v>128</v>
      </c>
      <c r="J295" s="56">
        <v>44126</v>
      </c>
      <c r="K295" s="63" t="s">
        <v>298</v>
      </c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</row>
    <row r="296" spans="1:47" ht="15.75" customHeight="1">
      <c r="A296" s="56">
        <v>44281</v>
      </c>
      <c r="B296" s="57" t="s">
        <v>958</v>
      </c>
      <c r="C296" s="46" t="s">
        <v>150</v>
      </c>
      <c r="D296" s="46" t="s">
        <v>237</v>
      </c>
      <c r="E296" s="58"/>
      <c r="F296" s="46" t="s">
        <v>249</v>
      </c>
      <c r="G296" s="56" t="s">
        <v>11</v>
      </c>
      <c r="H296" s="56" t="s">
        <v>9</v>
      </c>
      <c r="I296" s="56" t="s">
        <v>98</v>
      </c>
      <c r="J296" s="56">
        <v>44280</v>
      </c>
      <c r="K296" s="59" t="s">
        <v>302</v>
      </c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</row>
    <row r="297" spans="1:47" ht="15.75" customHeight="1">
      <c r="A297" s="60">
        <v>44285</v>
      </c>
      <c r="B297" s="61" t="s">
        <v>959</v>
      </c>
      <c r="C297" s="62" t="s">
        <v>150</v>
      </c>
      <c r="D297" s="46" t="s">
        <v>54</v>
      </c>
      <c r="E297" s="58">
        <v>200000</v>
      </c>
      <c r="F297" s="46" t="s">
        <v>269</v>
      </c>
      <c r="G297" s="56" t="s">
        <v>107</v>
      </c>
      <c r="H297" s="56" t="s">
        <v>12</v>
      </c>
      <c r="I297" s="56" t="s">
        <v>153</v>
      </c>
      <c r="J297" s="56">
        <v>43861</v>
      </c>
      <c r="K297" s="59" t="s">
        <v>302</v>
      </c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</row>
    <row r="298" spans="1:47" ht="15.75" customHeight="1">
      <c r="A298" s="60">
        <v>44286</v>
      </c>
      <c r="B298" s="61" t="s">
        <v>960</v>
      </c>
      <c r="C298" s="62" t="s">
        <v>14</v>
      </c>
      <c r="D298" s="46" t="s">
        <v>861</v>
      </c>
      <c r="E298" s="58">
        <v>328583.39</v>
      </c>
      <c r="F298" s="46" t="s">
        <v>93</v>
      </c>
      <c r="G298" s="46" t="s">
        <v>24</v>
      </c>
      <c r="H298" s="46" t="s">
        <v>12</v>
      </c>
      <c r="I298" s="46" t="s">
        <v>358</v>
      </c>
      <c r="J298" s="77">
        <v>44134</v>
      </c>
      <c r="K298" s="63" t="s">
        <v>295</v>
      </c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</row>
    <row r="299" spans="1:47" ht="15.75" customHeight="1">
      <c r="A299" s="56">
        <v>44287</v>
      </c>
      <c r="B299" s="57" t="s">
        <v>952</v>
      </c>
      <c r="C299" s="46" t="s">
        <v>150</v>
      </c>
      <c r="D299" s="46" t="s">
        <v>237</v>
      </c>
      <c r="E299" s="58">
        <v>222801.29</v>
      </c>
      <c r="F299" s="46" t="s">
        <v>257</v>
      </c>
      <c r="G299" s="56" t="s">
        <v>107</v>
      </c>
      <c r="H299" s="56" t="s">
        <v>12</v>
      </c>
      <c r="I299" s="56" t="s">
        <v>153</v>
      </c>
      <c r="J299" s="56">
        <v>43531</v>
      </c>
      <c r="K299" s="59" t="s">
        <v>382</v>
      </c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</row>
    <row r="300" spans="1:47" ht="15.75" customHeight="1">
      <c r="A300" s="56">
        <v>44287</v>
      </c>
      <c r="B300" s="57" t="s">
        <v>961</v>
      </c>
      <c r="C300" s="46" t="s">
        <v>150</v>
      </c>
      <c r="D300" s="46" t="s">
        <v>237</v>
      </c>
      <c r="E300" s="58"/>
      <c r="F300" s="46" t="s">
        <v>257</v>
      </c>
      <c r="G300" s="56" t="s">
        <v>107</v>
      </c>
      <c r="H300" s="56" t="s">
        <v>12</v>
      </c>
      <c r="I300" s="56" t="s">
        <v>153</v>
      </c>
      <c r="J300" s="56">
        <v>43566</v>
      </c>
      <c r="K300" s="59" t="s">
        <v>302</v>
      </c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</row>
    <row r="301" spans="1:47" ht="15.75" customHeight="1">
      <c r="A301" s="60">
        <v>44287</v>
      </c>
      <c r="B301" s="61" t="s">
        <v>962</v>
      </c>
      <c r="C301" s="62" t="s">
        <v>14</v>
      </c>
      <c r="D301" s="46" t="s">
        <v>861</v>
      </c>
      <c r="E301" s="58">
        <v>95592.52</v>
      </c>
      <c r="F301" s="46" t="s">
        <v>520</v>
      </c>
      <c r="G301" s="46" t="s">
        <v>24</v>
      </c>
      <c r="H301" s="46" t="s">
        <v>12</v>
      </c>
      <c r="I301" s="46" t="s">
        <v>949</v>
      </c>
      <c r="J301" s="77">
        <v>44180</v>
      </c>
      <c r="K301" s="63" t="s">
        <v>298</v>
      </c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</row>
    <row r="302" spans="1:47" ht="15.75" customHeight="1">
      <c r="A302" s="56">
        <v>44291</v>
      </c>
      <c r="B302" s="57" t="s">
        <v>963</v>
      </c>
      <c r="C302" s="46" t="s">
        <v>14</v>
      </c>
      <c r="D302" s="46" t="s">
        <v>237</v>
      </c>
      <c r="E302" s="58">
        <v>0</v>
      </c>
      <c r="F302" s="46" t="s">
        <v>558</v>
      </c>
      <c r="G302" s="46" t="s">
        <v>24</v>
      </c>
      <c r="H302" s="46" t="s">
        <v>12</v>
      </c>
      <c r="I302" s="46" t="s">
        <v>312</v>
      </c>
      <c r="J302" s="56">
        <v>44215</v>
      </c>
      <c r="K302" s="63" t="s">
        <v>295</v>
      </c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</row>
    <row r="303" spans="1:47" ht="15.75" customHeight="1">
      <c r="A303" s="60">
        <v>44291</v>
      </c>
      <c r="B303" s="61" t="s">
        <v>875</v>
      </c>
      <c r="C303" s="62" t="s">
        <v>150</v>
      </c>
      <c r="D303" s="46" t="s">
        <v>861</v>
      </c>
      <c r="E303" s="58">
        <v>3500</v>
      </c>
      <c r="F303" s="46" t="s">
        <v>217</v>
      </c>
      <c r="G303" s="56" t="s">
        <v>107</v>
      </c>
      <c r="H303" s="56" t="s">
        <v>12</v>
      </c>
      <c r="I303" s="56" t="s">
        <v>153</v>
      </c>
      <c r="J303" s="56">
        <v>43559</v>
      </c>
      <c r="K303" s="59" t="s">
        <v>382</v>
      </c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</row>
    <row r="304" spans="1:47" ht="15.75" customHeight="1">
      <c r="A304" s="60">
        <v>44291</v>
      </c>
      <c r="B304" s="61" t="s">
        <v>963</v>
      </c>
      <c r="C304" s="62" t="s">
        <v>14</v>
      </c>
      <c r="D304" s="46" t="s">
        <v>54</v>
      </c>
      <c r="E304" s="58">
        <v>6000</v>
      </c>
      <c r="F304" s="46" t="s">
        <v>558</v>
      </c>
      <c r="G304" s="46" t="s">
        <v>24</v>
      </c>
      <c r="H304" s="46" t="s">
        <v>12</v>
      </c>
      <c r="I304" s="46" t="s">
        <v>312</v>
      </c>
      <c r="J304" s="56">
        <v>44215</v>
      </c>
      <c r="K304" s="63" t="s">
        <v>295</v>
      </c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</row>
    <row r="305" spans="1:47" ht="15.75" customHeight="1">
      <c r="A305" s="60">
        <v>44292</v>
      </c>
      <c r="B305" s="61" t="s">
        <v>867</v>
      </c>
      <c r="C305" s="62" t="s">
        <v>150</v>
      </c>
      <c r="D305" s="46" t="s">
        <v>861</v>
      </c>
      <c r="E305" s="58">
        <v>50000</v>
      </c>
      <c r="F305" s="46" t="s">
        <v>206</v>
      </c>
      <c r="G305" s="56" t="s">
        <v>107</v>
      </c>
      <c r="H305" s="56" t="s">
        <v>12</v>
      </c>
      <c r="I305" s="56" t="s">
        <v>108</v>
      </c>
      <c r="J305" s="56">
        <v>43703</v>
      </c>
      <c r="K305" s="59" t="s">
        <v>382</v>
      </c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</row>
    <row r="306" spans="1:47" ht="15.75" customHeight="1">
      <c r="A306" s="60">
        <v>44293</v>
      </c>
      <c r="B306" s="61" t="s">
        <v>964</v>
      </c>
      <c r="C306" s="62" t="s">
        <v>14</v>
      </c>
      <c r="D306" s="46" t="s">
        <v>861</v>
      </c>
      <c r="E306" s="58">
        <v>200000</v>
      </c>
      <c r="F306" s="46" t="s">
        <v>560</v>
      </c>
      <c r="G306" s="46" t="s">
        <v>24</v>
      </c>
      <c r="H306" s="46" t="s">
        <v>12</v>
      </c>
      <c r="I306" s="37" t="s">
        <v>355</v>
      </c>
      <c r="J306" s="56">
        <v>44203</v>
      </c>
      <c r="K306" s="63" t="s">
        <v>298</v>
      </c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</row>
    <row r="307" spans="1:47" ht="15.75" customHeight="1">
      <c r="A307" s="60">
        <v>44293</v>
      </c>
      <c r="B307" s="61" t="s">
        <v>965</v>
      </c>
      <c r="C307" s="62" t="s">
        <v>14</v>
      </c>
      <c r="D307" s="46" t="s">
        <v>861</v>
      </c>
      <c r="E307" s="58">
        <v>7000</v>
      </c>
      <c r="F307" s="46" t="s">
        <v>62</v>
      </c>
      <c r="G307" s="46" t="s">
        <v>11</v>
      </c>
      <c r="H307" s="46" t="s">
        <v>12</v>
      </c>
      <c r="I307" s="46" t="s">
        <v>18</v>
      </c>
      <c r="J307" s="56">
        <v>44218</v>
      </c>
      <c r="K307" s="63" t="s">
        <v>298</v>
      </c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</row>
    <row r="308" spans="1:47" ht="15.75" customHeight="1">
      <c r="A308" s="56">
        <v>44295</v>
      </c>
      <c r="B308" s="57" t="s">
        <v>966</v>
      </c>
      <c r="C308" s="46" t="s">
        <v>14</v>
      </c>
      <c r="D308" s="46" t="s">
        <v>237</v>
      </c>
      <c r="E308" s="58">
        <v>0</v>
      </c>
      <c r="F308" s="46" t="s">
        <v>351</v>
      </c>
      <c r="G308" s="46" t="s">
        <v>24</v>
      </c>
      <c r="H308" s="46" t="s">
        <v>12</v>
      </c>
      <c r="I308" s="46" t="s">
        <v>128</v>
      </c>
      <c r="J308" s="56">
        <v>44165</v>
      </c>
      <c r="K308" s="63" t="s">
        <v>298</v>
      </c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</row>
    <row r="309" spans="1:47" ht="15.75" customHeight="1">
      <c r="A309" s="60">
        <v>44299</v>
      </c>
      <c r="B309" s="61" t="s">
        <v>967</v>
      </c>
      <c r="C309" s="62" t="s">
        <v>14</v>
      </c>
      <c r="D309" s="46" t="s">
        <v>54</v>
      </c>
      <c r="E309" s="58">
        <v>299695.62</v>
      </c>
      <c r="F309" s="46" t="s">
        <v>410</v>
      </c>
      <c r="G309" s="46" t="s">
        <v>24</v>
      </c>
      <c r="H309" s="46" t="s">
        <v>12</v>
      </c>
      <c r="I309" s="46" t="s">
        <v>358</v>
      </c>
      <c r="J309" s="56">
        <v>44195</v>
      </c>
      <c r="K309" s="63" t="s">
        <v>302</v>
      </c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</row>
    <row r="310" spans="1:47" ht="15.75" customHeight="1">
      <c r="A310" s="60">
        <v>44299</v>
      </c>
      <c r="B310" s="61" t="s">
        <v>863</v>
      </c>
      <c r="C310" s="62" t="s">
        <v>14</v>
      </c>
      <c r="D310" s="46" t="s">
        <v>54</v>
      </c>
      <c r="E310" s="58">
        <v>203869.45</v>
      </c>
      <c r="F310" s="46" t="s">
        <v>514</v>
      </c>
      <c r="G310" s="46" t="s">
        <v>107</v>
      </c>
      <c r="H310" s="46" t="s">
        <v>12</v>
      </c>
      <c r="I310" s="46" t="s">
        <v>107</v>
      </c>
      <c r="J310" s="56">
        <v>43749</v>
      </c>
      <c r="K310" s="63" t="s">
        <v>382</v>
      </c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</row>
    <row r="311" spans="1:47" ht="15.75" customHeight="1">
      <c r="A311" s="60">
        <v>44302</v>
      </c>
      <c r="B311" s="61" t="s">
        <v>867</v>
      </c>
      <c r="C311" s="62" t="s">
        <v>150</v>
      </c>
      <c r="D311" s="46" t="s">
        <v>861</v>
      </c>
      <c r="E311" s="58">
        <v>1000</v>
      </c>
      <c r="F311" s="46" t="s">
        <v>206</v>
      </c>
      <c r="G311" s="56" t="s">
        <v>107</v>
      </c>
      <c r="H311" s="56" t="s">
        <v>12</v>
      </c>
      <c r="I311" s="56" t="s">
        <v>108</v>
      </c>
      <c r="J311" s="56">
        <v>43703</v>
      </c>
      <c r="K311" s="59" t="s">
        <v>382</v>
      </c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</row>
    <row r="312" spans="1:47" ht="15.75" customHeight="1">
      <c r="A312" s="60">
        <v>44302</v>
      </c>
      <c r="B312" s="61" t="s">
        <v>882</v>
      </c>
      <c r="C312" s="62" t="s">
        <v>150</v>
      </c>
      <c r="D312" s="46" t="s">
        <v>861</v>
      </c>
      <c r="E312" s="58">
        <v>10000</v>
      </c>
      <c r="F312" s="46" t="s">
        <v>280</v>
      </c>
      <c r="G312" s="56" t="s">
        <v>107</v>
      </c>
      <c r="H312" s="56" t="s">
        <v>12</v>
      </c>
      <c r="I312" s="56" t="s">
        <v>108</v>
      </c>
      <c r="J312" s="56">
        <v>43717</v>
      </c>
      <c r="K312" s="59" t="s">
        <v>382</v>
      </c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</row>
    <row r="313" spans="1:47" ht="15.75" customHeight="1">
      <c r="A313" s="56">
        <v>44305</v>
      </c>
      <c r="B313" s="57" t="s">
        <v>863</v>
      </c>
      <c r="C313" s="46" t="s">
        <v>14</v>
      </c>
      <c r="D313" s="46" t="s">
        <v>237</v>
      </c>
      <c r="E313" s="58">
        <v>0</v>
      </c>
      <c r="F313" s="46" t="s">
        <v>514</v>
      </c>
      <c r="G313" s="46" t="s">
        <v>107</v>
      </c>
      <c r="H313" s="46" t="s">
        <v>12</v>
      </c>
      <c r="I313" s="46" t="s">
        <v>107</v>
      </c>
      <c r="J313" s="56">
        <v>43749</v>
      </c>
      <c r="K313" s="63" t="s">
        <v>382</v>
      </c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</row>
    <row r="314" spans="1:47" ht="15.75" customHeight="1">
      <c r="A314" s="56">
        <v>44305</v>
      </c>
      <c r="B314" s="57" t="s">
        <v>880</v>
      </c>
      <c r="C314" s="46" t="s">
        <v>14</v>
      </c>
      <c r="D314" s="46" t="s">
        <v>237</v>
      </c>
      <c r="E314" s="58">
        <v>0</v>
      </c>
      <c r="F314" s="46" t="s">
        <v>525</v>
      </c>
      <c r="G314" s="46" t="s">
        <v>107</v>
      </c>
      <c r="H314" s="46" t="s">
        <v>12</v>
      </c>
      <c r="I314" s="46" t="s">
        <v>107</v>
      </c>
      <c r="J314" s="56">
        <v>44225</v>
      </c>
      <c r="K314" s="63" t="s">
        <v>298</v>
      </c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</row>
    <row r="315" spans="1:47" ht="15.75" customHeight="1">
      <c r="A315" s="60">
        <v>44305</v>
      </c>
      <c r="B315" s="61" t="s">
        <v>937</v>
      </c>
      <c r="C315" s="62" t="s">
        <v>150</v>
      </c>
      <c r="D315" s="46" t="s">
        <v>861</v>
      </c>
      <c r="E315" s="58">
        <v>29853.439999999999</v>
      </c>
      <c r="F315" s="46" t="s">
        <v>284</v>
      </c>
      <c r="G315" s="56" t="s">
        <v>107</v>
      </c>
      <c r="H315" s="56" t="s">
        <v>12</v>
      </c>
      <c r="I315" s="56" t="s">
        <v>153</v>
      </c>
      <c r="J315" s="56">
        <v>43822</v>
      </c>
      <c r="K315" s="59" t="s">
        <v>302</v>
      </c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</row>
    <row r="316" spans="1:47" ht="15.75" customHeight="1">
      <c r="A316" s="60">
        <v>44305</v>
      </c>
      <c r="B316" s="61" t="s">
        <v>968</v>
      </c>
      <c r="C316" s="62" t="s">
        <v>150</v>
      </c>
      <c r="D316" s="46" t="s">
        <v>861</v>
      </c>
      <c r="E316" s="58">
        <v>3500</v>
      </c>
      <c r="F316" s="46" t="s">
        <v>290</v>
      </c>
      <c r="G316" s="56" t="s">
        <v>11</v>
      </c>
      <c r="H316" s="56" t="s">
        <v>9</v>
      </c>
      <c r="I316" s="56" t="s">
        <v>29</v>
      </c>
      <c r="J316" s="56">
        <v>44273</v>
      </c>
      <c r="K316" s="59" t="s">
        <v>298</v>
      </c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</row>
    <row r="317" spans="1:47" ht="15.75" customHeight="1">
      <c r="A317" s="60">
        <v>44308</v>
      </c>
      <c r="B317" s="61" t="s">
        <v>875</v>
      </c>
      <c r="C317" s="62" t="s">
        <v>150</v>
      </c>
      <c r="D317" s="46" t="s">
        <v>861</v>
      </c>
      <c r="E317" s="58">
        <v>193917.59</v>
      </c>
      <c r="F317" s="46" t="s">
        <v>217</v>
      </c>
      <c r="G317" s="56" t="s">
        <v>107</v>
      </c>
      <c r="H317" s="56" t="s">
        <v>12</v>
      </c>
      <c r="I317" s="56" t="s">
        <v>153</v>
      </c>
      <c r="J317" s="56">
        <v>43559</v>
      </c>
      <c r="K317" s="59" t="s">
        <v>382</v>
      </c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</row>
    <row r="318" spans="1:47" ht="15.75" customHeight="1">
      <c r="A318" s="60">
        <v>44308</v>
      </c>
      <c r="B318" s="61" t="s">
        <v>969</v>
      </c>
      <c r="C318" s="62" t="s">
        <v>150</v>
      </c>
      <c r="D318" s="46" t="s">
        <v>861</v>
      </c>
      <c r="E318" s="58">
        <v>10000</v>
      </c>
      <c r="F318" s="46" t="s">
        <v>152</v>
      </c>
      <c r="G318" s="56" t="s">
        <v>107</v>
      </c>
      <c r="H318" s="56" t="s">
        <v>12</v>
      </c>
      <c r="I318" s="56" t="s">
        <v>153</v>
      </c>
      <c r="J318" s="56">
        <v>43874</v>
      </c>
      <c r="K318" s="59" t="s">
        <v>298</v>
      </c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</row>
    <row r="319" spans="1:47" ht="15.75" customHeight="1">
      <c r="A319" s="56">
        <v>44309</v>
      </c>
      <c r="B319" s="57" t="s">
        <v>970</v>
      </c>
      <c r="C319" s="46" t="s">
        <v>150</v>
      </c>
      <c r="D319" s="46" t="s">
        <v>237</v>
      </c>
      <c r="E319" s="58">
        <v>72.06</v>
      </c>
      <c r="F319" s="46" t="s">
        <v>160</v>
      </c>
      <c r="G319" s="56" t="s">
        <v>107</v>
      </c>
      <c r="H319" s="56" t="s">
        <v>12</v>
      </c>
      <c r="I319" s="56" t="s">
        <v>153</v>
      </c>
      <c r="J319" s="56">
        <v>43685</v>
      </c>
      <c r="K319" s="59" t="s">
        <v>382</v>
      </c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</row>
    <row r="320" spans="1:47" ht="15.75" customHeight="1">
      <c r="A320" s="56">
        <v>44309</v>
      </c>
      <c r="B320" s="57" t="s">
        <v>971</v>
      </c>
      <c r="C320" s="46" t="s">
        <v>150</v>
      </c>
      <c r="D320" s="46" t="s">
        <v>237</v>
      </c>
      <c r="E320" s="58">
        <v>295.22000000000003</v>
      </c>
      <c r="F320" s="46" t="s">
        <v>163</v>
      </c>
      <c r="G320" s="56" t="s">
        <v>11</v>
      </c>
      <c r="H320" s="56" t="s">
        <v>12</v>
      </c>
      <c r="I320" s="56" t="s">
        <v>13</v>
      </c>
      <c r="J320" s="56">
        <v>43382</v>
      </c>
      <c r="K320" s="59" t="s">
        <v>304</v>
      </c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</row>
    <row r="321" spans="1:47" ht="15.75" customHeight="1">
      <c r="A321" s="56">
        <v>44309</v>
      </c>
      <c r="B321" s="57" t="s">
        <v>972</v>
      </c>
      <c r="C321" s="46" t="s">
        <v>150</v>
      </c>
      <c r="D321" s="46" t="s">
        <v>237</v>
      </c>
      <c r="E321" s="58">
        <v>47.86</v>
      </c>
      <c r="F321" s="46" t="s">
        <v>171</v>
      </c>
      <c r="G321" s="56" t="s">
        <v>107</v>
      </c>
      <c r="H321" s="56" t="s">
        <v>12</v>
      </c>
      <c r="I321" s="56" t="s">
        <v>108</v>
      </c>
      <c r="J321" s="56">
        <v>43665</v>
      </c>
      <c r="K321" s="59" t="s">
        <v>382</v>
      </c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</row>
    <row r="322" spans="1:47" ht="15.75" customHeight="1">
      <c r="A322" s="56">
        <v>44309</v>
      </c>
      <c r="B322" s="57" t="s">
        <v>946</v>
      </c>
      <c r="C322" s="46" t="s">
        <v>150</v>
      </c>
      <c r="D322" s="46" t="s">
        <v>237</v>
      </c>
      <c r="E322" s="58"/>
      <c r="F322" s="46" t="s">
        <v>219</v>
      </c>
      <c r="G322" s="56" t="s">
        <v>11</v>
      </c>
      <c r="H322" s="56" t="s">
        <v>12</v>
      </c>
      <c r="I322" s="56" t="s">
        <v>125</v>
      </c>
      <c r="J322" s="56">
        <v>43515</v>
      </c>
      <c r="K322" s="59" t="s">
        <v>304</v>
      </c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</row>
    <row r="323" spans="1:47" ht="15.75" customHeight="1">
      <c r="A323" s="56">
        <v>44309</v>
      </c>
      <c r="B323" s="57" t="s">
        <v>874</v>
      </c>
      <c r="C323" s="46" t="s">
        <v>150</v>
      </c>
      <c r="D323" s="46" t="s">
        <v>237</v>
      </c>
      <c r="E323" s="58">
        <v>4170.42</v>
      </c>
      <c r="F323" s="46" t="s">
        <v>220</v>
      </c>
      <c r="G323" s="56" t="s">
        <v>107</v>
      </c>
      <c r="H323" s="56" t="s">
        <v>12</v>
      </c>
      <c r="I323" s="56" t="s">
        <v>153</v>
      </c>
      <c r="J323" s="56">
        <v>43664</v>
      </c>
      <c r="K323" s="59" t="s">
        <v>382</v>
      </c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</row>
    <row r="324" spans="1:47" ht="15.75" customHeight="1">
      <c r="A324" s="56">
        <v>44312</v>
      </c>
      <c r="B324" s="57" t="s">
        <v>973</v>
      </c>
      <c r="C324" s="46" t="s">
        <v>150</v>
      </c>
      <c r="D324" s="46" t="s">
        <v>237</v>
      </c>
      <c r="E324" s="58">
        <v>6.32</v>
      </c>
      <c r="F324" s="46" t="s">
        <v>179</v>
      </c>
      <c r="G324" s="56" t="s">
        <v>107</v>
      </c>
      <c r="H324" s="56" t="s">
        <v>12</v>
      </c>
      <c r="I324" s="56" t="s">
        <v>108</v>
      </c>
      <c r="J324" s="56" t="s">
        <v>129</v>
      </c>
      <c r="K324" s="59" t="s">
        <v>298</v>
      </c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</row>
    <row r="325" spans="1:47" ht="15.75" customHeight="1">
      <c r="A325" s="56">
        <v>44312</v>
      </c>
      <c r="B325" s="57" t="s">
        <v>860</v>
      </c>
      <c r="C325" s="46" t="s">
        <v>150</v>
      </c>
      <c r="D325" s="46" t="s">
        <v>237</v>
      </c>
      <c r="E325" s="58">
        <v>242.83</v>
      </c>
      <c r="F325" s="46" t="s">
        <v>270</v>
      </c>
      <c r="G325" s="56" t="s">
        <v>107</v>
      </c>
      <c r="H325" s="56" t="s">
        <v>12</v>
      </c>
      <c r="I325" s="56" t="s">
        <v>108</v>
      </c>
      <c r="J325" s="56">
        <v>43675</v>
      </c>
      <c r="K325" s="59" t="s">
        <v>382</v>
      </c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</row>
    <row r="326" spans="1:47" ht="15.75" customHeight="1">
      <c r="A326" s="60">
        <v>44312</v>
      </c>
      <c r="B326" s="61" t="s">
        <v>920</v>
      </c>
      <c r="C326" s="62" t="s">
        <v>150</v>
      </c>
      <c r="D326" s="46" t="s">
        <v>54</v>
      </c>
      <c r="E326" s="58">
        <v>57000</v>
      </c>
      <c r="F326" s="46" t="s">
        <v>248</v>
      </c>
      <c r="G326" s="56" t="s">
        <v>107</v>
      </c>
      <c r="H326" s="56" t="s">
        <v>12</v>
      </c>
      <c r="I326" s="56" t="s">
        <v>153</v>
      </c>
      <c r="J326" s="56">
        <v>43622</v>
      </c>
      <c r="K326" s="59" t="s">
        <v>302</v>
      </c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</row>
    <row r="327" spans="1:47" ht="15.75" customHeight="1">
      <c r="A327" s="56">
        <v>44314</v>
      </c>
      <c r="B327" s="57" t="s">
        <v>969</v>
      </c>
      <c r="C327" s="46" t="s">
        <v>150</v>
      </c>
      <c r="D327" s="46" t="s">
        <v>237</v>
      </c>
      <c r="E327" s="58">
        <v>299695.62</v>
      </c>
      <c r="F327" s="46" t="s">
        <v>152</v>
      </c>
      <c r="G327" s="56" t="s">
        <v>107</v>
      </c>
      <c r="H327" s="56" t="s">
        <v>12</v>
      </c>
      <c r="I327" s="56" t="s">
        <v>153</v>
      </c>
      <c r="J327" s="56">
        <v>43874</v>
      </c>
      <c r="K327" s="59" t="s">
        <v>298</v>
      </c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</row>
    <row r="328" spans="1:47" ht="15.75" customHeight="1">
      <c r="A328" s="56">
        <v>44314</v>
      </c>
      <c r="B328" s="57" t="s">
        <v>974</v>
      </c>
      <c r="C328" s="46" t="s">
        <v>150</v>
      </c>
      <c r="D328" s="46" t="s">
        <v>237</v>
      </c>
      <c r="E328" s="58">
        <v>29853.439999999999</v>
      </c>
      <c r="F328" s="46" t="s">
        <v>165</v>
      </c>
      <c r="G328" s="56" t="s">
        <v>107</v>
      </c>
      <c r="H328" s="56" t="s">
        <v>12</v>
      </c>
      <c r="I328" s="56" t="s">
        <v>108</v>
      </c>
      <c r="J328" s="56">
        <v>43620</v>
      </c>
      <c r="K328" s="59" t="s">
        <v>302</v>
      </c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</row>
    <row r="329" spans="1:47" ht="15.75" customHeight="1">
      <c r="A329" s="60">
        <v>44314</v>
      </c>
      <c r="B329" s="61" t="s">
        <v>975</v>
      </c>
      <c r="C329" s="62" t="s">
        <v>150</v>
      </c>
      <c r="D329" s="46" t="s">
        <v>861</v>
      </c>
      <c r="E329" s="58">
        <v>11000</v>
      </c>
      <c r="F329" s="46" t="s">
        <v>195</v>
      </c>
      <c r="G329" s="56" t="s">
        <v>11</v>
      </c>
      <c r="H329" s="56" t="s">
        <v>9</v>
      </c>
      <c r="I329" s="56" t="s">
        <v>29</v>
      </c>
      <c r="J329" s="56">
        <v>44298</v>
      </c>
      <c r="K329" s="59" t="s">
        <v>298</v>
      </c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</row>
    <row r="330" spans="1:47" ht="15.75" customHeight="1">
      <c r="A330" s="60">
        <v>44314</v>
      </c>
      <c r="B330" s="61" t="s">
        <v>867</v>
      </c>
      <c r="C330" s="62" t="s">
        <v>150</v>
      </c>
      <c r="D330" s="46" t="s">
        <v>861</v>
      </c>
      <c r="E330" s="58">
        <v>12000</v>
      </c>
      <c r="F330" s="46" t="s">
        <v>206</v>
      </c>
      <c r="G330" s="56" t="s">
        <v>107</v>
      </c>
      <c r="H330" s="56" t="s">
        <v>12</v>
      </c>
      <c r="I330" s="56" t="s">
        <v>108</v>
      </c>
      <c r="J330" s="56">
        <v>43703</v>
      </c>
      <c r="K330" s="59" t="s">
        <v>382</v>
      </c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</row>
    <row r="331" spans="1:47" ht="15.75" customHeight="1">
      <c r="A331" s="60">
        <v>44314</v>
      </c>
      <c r="B331" s="61" t="s">
        <v>974</v>
      </c>
      <c r="C331" s="62" t="s">
        <v>150</v>
      </c>
      <c r="D331" s="46" t="s">
        <v>54</v>
      </c>
      <c r="E331" s="58">
        <v>162050.69</v>
      </c>
      <c r="F331" s="46" t="s">
        <v>165</v>
      </c>
      <c r="G331" s="56" t="s">
        <v>107</v>
      </c>
      <c r="H331" s="56" t="s">
        <v>12</v>
      </c>
      <c r="I331" s="56" t="s">
        <v>108</v>
      </c>
      <c r="J331" s="56">
        <v>43620</v>
      </c>
      <c r="K331" s="59" t="s">
        <v>302</v>
      </c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</row>
    <row r="332" spans="1:47" ht="15.75" customHeight="1">
      <c r="A332" s="60">
        <v>44314</v>
      </c>
      <c r="B332" s="61" t="s">
        <v>917</v>
      </c>
      <c r="C332" s="62" t="s">
        <v>14</v>
      </c>
      <c r="D332" s="46" t="s">
        <v>861</v>
      </c>
      <c r="E332" s="58">
        <v>5000</v>
      </c>
      <c r="F332" s="46" t="s">
        <v>435</v>
      </c>
      <c r="G332" s="46" t="s">
        <v>107</v>
      </c>
      <c r="H332" s="46" t="s">
        <v>12</v>
      </c>
      <c r="I332" s="46" t="s">
        <v>107</v>
      </c>
      <c r="J332" s="56">
        <v>43901</v>
      </c>
      <c r="K332" s="63" t="s">
        <v>295</v>
      </c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</row>
    <row r="333" spans="1:47" ht="15.75" customHeight="1">
      <c r="A333" s="56">
        <v>44315</v>
      </c>
      <c r="B333" s="57" t="s">
        <v>976</v>
      </c>
      <c r="C333" s="46" t="s">
        <v>14</v>
      </c>
      <c r="D333" s="46" t="s">
        <v>237</v>
      </c>
      <c r="E333" s="58">
        <v>0</v>
      </c>
      <c r="F333" s="46" t="s">
        <v>507</v>
      </c>
      <c r="G333" s="46" t="s">
        <v>24</v>
      </c>
      <c r="H333" s="46" t="s">
        <v>12</v>
      </c>
      <c r="I333" s="46" t="s">
        <v>27</v>
      </c>
      <c r="J333" s="56">
        <v>44183</v>
      </c>
      <c r="K333" s="63" t="s">
        <v>295</v>
      </c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</row>
    <row r="334" spans="1:47" ht="15.75" customHeight="1">
      <c r="A334" s="60">
        <v>44315</v>
      </c>
      <c r="B334" s="61" t="s">
        <v>976</v>
      </c>
      <c r="C334" s="62" t="s">
        <v>14</v>
      </c>
      <c r="D334" s="46" t="s">
        <v>54</v>
      </c>
      <c r="E334" s="58">
        <v>103154.55</v>
      </c>
      <c r="F334" s="46" t="s">
        <v>507</v>
      </c>
      <c r="G334" s="46" t="s">
        <v>24</v>
      </c>
      <c r="H334" s="46" t="s">
        <v>12</v>
      </c>
      <c r="I334" s="46" t="s">
        <v>27</v>
      </c>
      <c r="J334" s="56">
        <v>44183</v>
      </c>
      <c r="K334" s="63" t="s">
        <v>295</v>
      </c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</row>
    <row r="335" spans="1:47" ht="15.75" customHeight="1">
      <c r="A335" s="60">
        <v>44316</v>
      </c>
      <c r="B335" s="61" t="s">
        <v>975</v>
      </c>
      <c r="C335" s="62" t="s">
        <v>150</v>
      </c>
      <c r="D335" s="46" t="s">
        <v>861</v>
      </c>
      <c r="E335" s="58">
        <v>100000</v>
      </c>
      <c r="F335" s="46" t="s">
        <v>195</v>
      </c>
      <c r="G335" s="56" t="s">
        <v>11</v>
      </c>
      <c r="H335" s="56" t="s">
        <v>9</v>
      </c>
      <c r="I335" s="56" t="s">
        <v>29</v>
      </c>
      <c r="J335" s="56">
        <v>44298</v>
      </c>
      <c r="K335" s="59" t="s">
        <v>298</v>
      </c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</row>
    <row r="336" spans="1:47" ht="15.75" customHeight="1">
      <c r="A336" s="60">
        <v>44316</v>
      </c>
      <c r="B336" s="61" t="s">
        <v>867</v>
      </c>
      <c r="C336" s="62" t="s">
        <v>150</v>
      </c>
      <c r="D336" s="46" t="s">
        <v>861</v>
      </c>
      <c r="E336" s="58">
        <v>9000</v>
      </c>
      <c r="F336" s="46" t="s">
        <v>206</v>
      </c>
      <c r="G336" s="56" t="s">
        <v>107</v>
      </c>
      <c r="H336" s="56" t="s">
        <v>12</v>
      </c>
      <c r="I336" s="56" t="s">
        <v>108</v>
      </c>
      <c r="J336" s="56">
        <v>43703</v>
      </c>
      <c r="K336" s="59" t="s">
        <v>382</v>
      </c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</row>
    <row r="337" spans="1:47" ht="15.75" customHeight="1">
      <c r="A337" s="60">
        <v>44316</v>
      </c>
      <c r="B337" s="61" t="s">
        <v>962</v>
      </c>
      <c r="C337" s="62" t="s">
        <v>14</v>
      </c>
      <c r="D337" s="46" t="s">
        <v>861</v>
      </c>
      <c r="E337" s="58">
        <v>5000</v>
      </c>
      <c r="F337" s="46" t="s">
        <v>520</v>
      </c>
      <c r="G337" s="46" t="s">
        <v>24</v>
      </c>
      <c r="H337" s="46" t="s">
        <v>12</v>
      </c>
      <c r="I337" s="46" t="s">
        <v>434</v>
      </c>
      <c r="J337" s="56">
        <v>44180</v>
      </c>
      <c r="K337" s="63" t="s">
        <v>298</v>
      </c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</row>
    <row r="338" spans="1:47" ht="15.75" customHeight="1">
      <c r="A338" s="56">
        <v>44319</v>
      </c>
      <c r="B338" s="57" t="s">
        <v>977</v>
      </c>
      <c r="C338" s="46" t="s">
        <v>14</v>
      </c>
      <c r="D338" s="46" t="s">
        <v>237</v>
      </c>
      <c r="E338" s="58">
        <v>0</v>
      </c>
      <c r="F338" s="46" t="s">
        <v>470</v>
      </c>
      <c r="G338" s="46" t="s">
        <v>24</v>
      </c>
      <c r="H338" s="46" t="s">
        <v>76</v>
      </c>
      <c r="I338" s="46" t="s">
        <v>772</v>
      </c>
      <c r="J338" s="56">
        <v>44246</v>
      </c>
      <c r="K338" s="63" t="s">
        <v>295</v>
      </c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</row>
    <row r="339" spans="1:47" ht="15.75" customHeight="1">
      <c r="A339" s="60">
        <v>44319</v>
      </c>
      <c r="B339" s="61" t="s">
        <v>869</v>
      </c>
      <c r="C339" s="62" t="s">
        <v>150</v>
      </c>
      <c r="D339" s="46" t="s">
        <v>861</v>
      </c>
      <c r="E339" s="58">
        <v>150895.04999999999</v>
      </c>
      <c r="F339" s="46" t="s">
        <v>101</v>
      </c>
      <c r="G339" s="56" t="s">
        <v>107</v>
      </c>
      <c r="H339" s="56" t="s">
        <v>12</v>
      </c>
      <c r="I339" s="56" t="s">
        <v>108</v>
      </c>
      <c r="J339" s="56">
        <v>43605</v>
      </c>
      <c r="K339" s="59" t="s">
        <v>302</v>
      </c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</row>
    <row r="340" spans="1:47" ht="15.75" customHeight="1">
      <c r="A340" s="60">
        <v>44319</v>
      </c>
      <c r="B340" s="61" t="s">
        <v>977</v>
      </c>
      <c r="C340" s="62" t="s">
        <v>14</v>
      </c>
      <c r="D340" s="46" t="s">
        <v>54</v>
      </c>
      <c r="E340" s="58">
        <v>263682.77</v>
      </c>
      <c r="F340" s="46" t="s">
        <v>470</v>
      </c>
      <c r="G340" s="46" t="s">
        <v>24</v>
      </c>
      <c r="H340" s="46" t="s">
        <v>76</v>
      </c>
      <c r="I340" s="46" t="s">
        <v>772</v>
      </c>
      <c r="J340" s="56">
        <v>44246</v>
      </c>
      <c r="K340" s="63" t="s">
        <v>295</v>
      </c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</row>
    <row r="341" spans="1:47" ht="15.75" customHeight="1">
      <c r="A341" s="60">
        <v>44320</v>
      </c>
      <c r="B341" s="61" t="s">
        <v>875</v>
      </c>
      <c r="C341" s="62" t="s">
        <v>150</v>
      </c>
      <c r="D341" s="46" t="s">
        <v>861</v>
      </c>
      <c r="E341" s="58">
        <v>54000</v>
      </c>
      <c r="F341" s="46" t="s">
        <v>217</v>
      </c>
      <c r="G341" s="56" t="s">
        <v>107</v>
      </c>
      <c r="H341" s="56" t="s">
        <v>12</v>
      </c>
      <c r="I341" s="56" t="s">
        <v>153</v>
      </c>
      <c r="J341" s="56">
        <v>43559</v>
      </c>
      <c r="K341" s="59" t="s">
        <v>382</v>
      </c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</row>
    <row r="342" spans="1:47" ht="15.75" customHeight="1">
      <c r="A342" s="60">
        <v>44321</v>
      </c>
      <c r="B342" s="61" t="s">
        <v>978</v>
      </c>
      <c r="C342" s="62" t="s">
        <v>14</v>
      </c>
      <c r="D342" s="46" t="s">
        <v>54</v>
      </c>
      <c r="E342" s="58">
        <v>10000</v>
      </c>
      <c r="F342" s="46" t="s">
        <v>346</v>
      </c>
      <c r="G342" s="46" t="s">
        <v>24</v>
      </c>
      <c r="H342" s="46" t="s">
        <v>12</v>
      </c>
      <c r="I342" s="46" t="s">
        <v>128</v>
      </c>
      <c r="J342" s="56">
        <v>44228</v>
      </c>
      <c r="K342" s="63" t="s">
        <v>295</v>
      </c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</row>
    <row r="343" spans="1:47" ht="15.75" customHeight="1">
      <c r="A343" s="60">
        <v>44321</v>
      </c>
      <c r="B343" s="61" t="s">
        <v>979</v>
      </c>
      <c r="C343" s="62" t="s">
        <v>150</v>
      </c>
      <c r="D343" s="46" t="s">
        <v>861</v>
      </c>
      <c r="E343" s="58">
        <v>18500</v>
      </c>
      <c r="F343" s="46" t="s">
        <v>264</v>
      </c>
      <c r="G343" s="56" t="s">
        <v>11</v>
      </c>
      <c r="H343" s="56" t="s">
        <v>9</v>
      </c>
      <c r="I343" s="56" t="s">
        <v>29</v>
      </c>
      <c r="J343" s="56">
        <v>44279</v>
      </c>
      <c r="K343" s="59" t="s">
        <v>298</v>
      </c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</row>
    <row r="344" spans="1:47" ht="15.75" customHeight="1">
      <c r="A344" s="56">
        <v>44322</v>
      </c>
      <c r="B344" s="78" t="s">
        <v>953</v>
      </c>
      <c r="C344" s="46" t="s">
        <v>150</v>
      </c>
      <c r="D344" s="46" t="s">
        <v>237</v>
      </c>
      <c r="E344" s="58">
        <v>19321.39</v>
      </c>
      <c r="F344" s="46" t="s">
        <v>954</v>
      </c>
      <c r="G344" s="56" t="s">
        <v>11</v>
      </c>
      <c r="H344" s="56" t="s">
        <v>9</v>
      </c>
      <c r="I344" s="56" t="s">
        <v>10</v>
      </c>
      <c r="J344" s="56">
        <v>44278</v>
      </c>
      <c r="K344" s="59" t="s">
        <v>298</v>
      </c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</row>
    <row r="345" spans="1:47" ht="15.75" customHeight="1">
      <c r="A345" s="60">
        <v>44322</v>
      </c>
      <c r="B345" s="61" t="s">
        <v>867</v>
      </c>
      <c r="C345" s="62" t="s">
        <v>150</v>
      </c>
      <c r="D345" s="46" t="s">
        <v>861</v>
      </c>
      <c r="E345" s="58">
        <v>103664.69</v>
      </c>
      <c r="F345" s="46" t="s">
        <v>206</v>
      </c>
      <c r="G345" s="56" t="s">
        <v>107</v>
      </c>
      <c r="H345" s="56" t="s">
        <v>12</v>
      </c>
      <c r="I345" s="56" t="s">
        <v>108</v>
      </c>
      <c r="J345" s="56">
        <v>43703</v>
      </c>
      <c r="K345" s="59" t="s">
        <v>382</v>
      </c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</row>
    <row r="346" spans="1:47" ht="15.75" customHeight="1">
      <c r="A346" s="60">
        <v>44326</v>
      </c>
      <c r="B346" s="61" t="s">
        <v>922</v>
      </c>
      <c r="C346" s="62" t="s">
        <v>150</v>
      </c>
      <c r="D346" s="46" t="s">
        <v>861</v>
      </c>
      <c r="E346" s="58">
        <v>11000</v>
      </c>
      <c r="F346" s="46" t="s">
        <v>246</v>
      </c>
      <c r="G346" s="56" t="s">
        <v>107</v>
      </c>
      <c r="H346" s="56" t="s">
        <v>12</v>
      </c>
      <c r="I346" s="56" t="s">
        <v>108</v>
      </c>
      <c r="J346" s="56">
        <v>43873</v>
      </c>
      <c r="K346" s="59" t="s">
        <v>298</v>
      </c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</row>
    <row r="347" spans="1:47" ht="15.75" customHeight="1">
      <c r="A347" s="60">
        <v>44327</v>
      </c>
      <c r="B347" s="57" t="s">
        <v>980</v>
      </c>
      <c r="C347" s="46" t="s">
        <v>150</v>
      </c>
      <c r="D347" s="46" t="s">
        <v>237</v>
      </c>
      <c r="E347" s="58">
        <v>797.3</v>
      </c>
      <c r="F347" s="46" t="s">
        <v>255</v>
      </c>
      <c r="G347" s="56" t="s">
        <v>107</v>
      </c>
      <c r="H347" s="56" t="s">
        <v>12</v>
      </c>
      <c r="I347" s="56" t="s">
        <v>108</v>
      </c>
      <c r="J347" s="56">
        <v>43710</v>
      </c>
      <c r="K347" s="59" t="s">
        <v>382</v>
      </c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</row>
    <row r="348" spans="1:47" ht="15.75" customHeight="1">
      <c r="A348" s="60">
        <v>44327</v>
      </c>
      <c r="B348" s="61" t="s">
        <v>898</v>
      </c>
      <c r="C348" s="62" t="s">
        <v>150</v>
      </c>
      <c r="D348" s="46" t="s">
        <v>54</v>
      </c>
      <c r="E348" s="71">
        <v>151479.54999999999</v>
      </c>
      <c r="F348" s="46" t="s">
        <v>231</v>
      </c>
      <c r="G348" s="56" t="s">
        <v>107</v>
      </c>
      <c r="H348" s="56" t="s">
        <v>12</v>
      </c>
      <c r="I348" s="56" t="s">
        <v>108</v>
      </c>
      <c r="J348" s="56">
        <v>43732</v>
      </c>
      <c r="K348" s="59" t="s">
        <v>382</v>
      </c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</row>
    <row r="349" spans="1:47" ht="15.75" customHeight="1">
      <c r="A349" s="60">
        <v>44327</v>
      </c>
      <c r="B349" s="61" t="s">
        <v>981</v>
      </c>
      <c r="C349" s="62" t="s">
        <v>150</v>
      </c>
      <c r="D349" s="46" t="s">
        <v>54</v>
      </c>
      <c r="E349" s="58">
        <v>405479.42</v>
      </c>
      <c r="F349" s="46" t="s">
        <v>95</v>
      </c>
      <c r="G349" s="56" t="s">
        <v>107</v>
      </c>
      <c r="H349" s="56" t="s">
        <v>12</v>
      </c>
      <c r="I349" s="56" t="s">
        <v>108</v>
      </c>
      <c r="J349" s="56">
        <v>43684</v>
      </c>
      <c r="K349" s="59" t="s">
        <v>382</v>
      </c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</row>
    <row r="350" spans="1:47" ht="15.75" customHeight="1">
      <c r="A350" s="60">
        <v>44327</v>
      </c>
      <c r="B350" s="61" t="s">
        <v>982</v>
      </c>
      <c r="C350" s="62" t="s">
        <v>150</v>
      </c>
      <c r="D350" s="46" t="s">
        <v>861</v>
      </c>
      <c r="E350" s="58">
        <v>70000</v>
      </c>
      <c r="F350" s="46" t="s">
        <v>102</v>
      </c>
      <c r="G350" s="56" t="s">
        <v>11</v>
      </c>
      <c r="H350" s="56" t="s">
        <v>9</v>
      </c>
      <c r="I350" s="56" t="s">
        <v>29</v>
      </c>
      <c r="J350" s="56">
        <v>44278</v>
      </c>
      <c r="K350" s="59" t="s">
        <v>295</v>
      </c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</row>
    <row r="351" spans="1:47" ht="15.75" customHeight="1">
      <c r="A351" s="60">
        <v>44327</v>
      </c>
      <c r="B351" s="61" t="s">
        <v>922</v>
      </c>
      <c r="C351" s="62" t="s">
        <v>150</v>
      </c>
      <c r="D351" s="46" t="s">
        <v>861</v>
      </c>
      <c r="E351" s="58">
        <v>15000</v>
      </c>
      <c r="F351" s="46" t="s">
        <v>246</v>
      </c>
      <c r="G351" s="56" t="s">
        <v>107</v>
      </c>
      <c r="H351" s="56" t="s">
        <v>12</v>
      </c>
      <c r="I351" s="56" t="s">
        <v>108</v>
      </c>
      <c r="J351" s="56">
        <v>43873</v>
      </c>
      <c r="K351" s="59" t="s">
        <v>298</v>
      </c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</row>
    <row r="352" spans="1:47" ht="15.75" customHeight="1">
      <c r="A352" s="56">
        <v>44329</v>
      </c>
      <c r="B352" s="57" t="s">
        <v>911</v>
      </c>
      <c r="C352" s="46" t="s">
        <v>150</v>
      </c>
      <c r="D352" s="46" t="s">
        <v>237</v>
      </c>
      <c r="E352" s="58">
        <v>13320.06</v>
      </c>
      <c r="F352" s="46" t="s">
        <v>276</v>
      </c>
      <c r="G352" s="56" t="s">
        <v>107</v>
      </c>
      <c r="H352" s="56" t="s">
        <v>12</v>
      </c>
      <c r="I352" s="56" t="s">
        <v>108</v>
      </c>
      <c r="J352" s="56">
        <v>44041</v>
      </c>
      <c r="K352" s="59" t="s">
        <v>298</v>
      </c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</row>
    <row r="353" spans="1:47" ht="15.75" customHeight="1">
      <c r="A353" s="60">
        <v>44329</v>
      </c>
      <c r="B353" s="61" t="s">
        <v>867</v>
      </c>
      <c r="C353" s="62" t="s">
        <v>150</v>
      </c>
      <c r="D353" s="46" t="s">
        <v>861</v>
      </c>
      <c r="E353" s="58">
        <v>15000</v>
      </c>
      <c r="F353" s="46" t="s">
        <v>206</v>
      </c>
      <c r="G353" s="56" t="s">
        <v>107</v>
      </c>
      <c r="H353" s="56" t="s">
        <v>12</v>
      </c>
      <c r="I353" s="56" t="s">
        <v>108</v>
      </c>
      <c r="J353" s="56">
        <v>43703</v>
      </c>
      <c r="K353" s="59" t="s">
        <v>382</v>
      </c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</row>
    <row r="354" spans="1:47" ht="15.75" customHeight="1">
      <c r="A354" s="60">
        <v>44329</v>
      </c>
      <c r="B354" s="61" t="s">
        <v>983</v>
      </c>
      <c r="C354" s="62" t="s">
        <v>150</v>
      </c>
      <c r="D354" s="46" t="s">
        <v>54</v>
      </c>
      <c r="E354" s="58">
        <v>107481.43</v>
      </c>
      <c r="F354" s="46" t="s">
        <v>184</v>
      </c>
      <c r="G354" s="56" t="s">
        <v>107</v>
      </c>
      <c r="H354" s="56" t="s">
        <v>12</v>
      </c>
      <c r="I354" s="56" t="s">
        <v>107</v>
      </c>
      <c r="J354" s="56">
        <v>44118</v>
      </c>
      <c r="K354" s="59" t="s">
        <v>298</v>
      </c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</row>
    <row r="355" spans="1:47" ht="15.75" customHeight="1">
      <c r="A355" s="60">
        <v>44329</v>
      </c>
      <c r="B355" s="61" t="s">
        <v>984</v>
      </c>
      <c r="C355" s="62" t="s">
        <v>150</v>
      </c>
      <c r="D355" s="46" t="s">
        <v>54</v>
      </c>
      <c r="E355" s="58">
        <v>89000</v>
      </c>
      <c r="F355" s="46" t="s">
        <v>183</v>
      </c>
      <c r="G355" s="56" t="s">
        <v>107</v>
      </c>
      <c r="H355" s="56" t="s">
        <v>12</v>
      </c>
      <c r="I355" s="56" t="s">
        <v>107</v>
      </c>
      <c r="J355" s="56">
        <v>44124</v>
      </c>
      <c r="K355" s="59" t="s">
        <v>298</v>
      </c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</row>
    <row r="356" spans="1:47" ht="15.75" customHeight="1">
      <c r="A356" s="60">
        <v>44330</v>
      </c>
      <c r="B356" s="61" t="s">
        <v>985</v>
      </c>
      <c r="C356" s="62" t="s">
        <v>150</v>
      </c>
      <c r="D356" s="46" t="s">
        <v>861</v>
      </c>
      <c r="E356" s="58">
        <v>140003.78</v>
      </c>
      <c r="F356" s="46" t="s">
        <v>84</v>
      </c>
      <c r="G356" s="56" t="s">
        <v>11</v>
      </c>
      <c r="H356" s="56" t="s">
        <v>9</v>
      </c>
      <c r="I356" s="56" t="s">
        <v>10</v>
      </c>
      <c r="J356" s="56">
        <v>44280</v>
      </c>
      <c r="K356" s="59" t="s">
        <v>298</v>
      </c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</row>
    <row r="357" spans="1:47" ht="15.75" customHeight="1">
      <c r="A357" s="60">
        <v>44333</v>
      </c>
      <c r="B357" s="61" t="s">
        <v>986</v>
      </c>
      <c r="C357" s="62" t="s">
        <v>14</v>
      </c>
      <c r="D357" s="46" t="s">
        <v>861</v>
      </c>
      <c r="E357" s="58">
        <v>200000</v>
      </c>
      <c r="F357" s="46" t="s">
        <v>298</v>
      </c>
      <c r="G357" s="46" t="s">
        <v>24</v>
      </c>
      <c r="H357" s="46" t="s">
        <v>12</v>
      </c>
      <c r="I357" s="46" t="s">
        <v>128</v>
      </c>
      <c r="J357" s="56">
        <v>44160</v>
      </c>
      <c r="K357" s="63" t="s">
        <v>298</v>
      </c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</row>
    <row r="358" spans="1:47" ht="15.75" customHeight="1">
      <c r="A358" s="56">
        <v>44335</v>
      </c>
      <c r="B358" s="57" t="s">
        <v>987</v>
      </c>
      <c r="C358" s="46" t="s">
        <v>14</v>
      </c>
      <c r="D358" s="46" t="s">
        <v>237</v>
      </c>
      <c r="E358" s="58">
        <v>0</v>
      </c>
      <c r="F358" s="46" t="s">
        <v>447</v>
      </c>
      <c r="G358" s="46" t="s">
        <v>11</v>
      </c>
      <c r="H358" s="46" t="s">
        <v>12</v>
      </c>
      <c r="I358" s="46" t="s">
        <v>13</v>
      </c>
      <c r="J358" s="56">
        <v>43880</v>
      </c>
      <c r="K358" s="63" t="s">
        <v>304</v>
      </c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</row>
    <row r="359" spans="1:47" ht="15.75" customHeight="1">
      <c r="A359" s="60">
        <v>44336</v>
      </c>
      <c r="B359" s="61" t="s">
        <v>975</v>
      </c>
      <c r="C359" s="62" t="s">
        <v>150</v>
      </c>
      <c r="D359" s="46" t="s">
        <v>861</v>
      </c>
      <c r="E359" s="58">
        <v>44600</v>
      </c>
      <c r="F359" s="46" t="s">
        <v>195</v>
      </c>
      <c r="G359" s="56" t="s">
        <v>11</v>
      </c>
      <c r="H359" s="56" t="s">
        <v>9</v>
      </c>
      <c r="I359" s="56" t="s">
        <v>29</v>
      </c>
      <c r="J359" s="56">
        <v>44298</v>
      </c>
      <c r="K359" s="59" t="s">
        <v>298</v>
      </c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</row>
    <row r="360" spans="1:47" ht="15.75" customHeight="1">
      <c r="A360" s="60">
        <v>44337</v>
      </c>
      <c r="B360" s="61" t="s">
        <v>988</v>
      </c>
      <c r="C360" s="62" t="s">
        <v>150</v>
      </c>
      <c r="D360" s="46" t="s">
        <v>861</v>
      </c>
      <c r="E360" s="58">
        <v>54600</v>
      </c>
      <c r="F360" s="46" t="s">
        <v>71</v>
      </c>
      <c r="G360" s="56" t="s">
        <v>11</v>
      </c>
      <c r="H360" s="56" t="s">
        <v>9</v>
      </c>
      <c r="I360" s="56" t="s">
        <v>29</v>
      </c>
      <c r="J360" s="56">
        <v>44287</v>
      </c>
      <c r="K360" s="59" t="s">
        <v>302</v>
      </c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</row>
    <row r="361" spans="1:47" ht="15.75" customHeight="1">
      <c r="A361" s="60">
        <v>44337</v>
      </c>
      <c r="B361" s="61" t="s">
        <v>989</v>
      </c>
      <c r="C361" s="62" t="s">
        <v>150</v>
      </c>
      <c r="D361" s="46" t="s">
        <v>861</v>
      </c>
      <c r="E361" s="58">
        <v>11500</v>
      </c>
      <c r="F361" s="46" t="s">
        <v>44</v>
      </c>
      <c r="G361" s="56" t="s">
        <v>11</v>
      </c>
      <c r="H361" s="56" t="s">
        <v>9</v>
      </c>
      <c r="I361" s="56" t="s">
        <v>29</v>
      </c>
      <c r="J361" s="56">
        <v>44333</v>
      </c>
      <c r="K361" s="59" t="s">
        <v>302</v>
      </c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</row>
    <row r="362" spans="1:47" ht="15.75" customHeight="1">
      <c r="A362" s="60">
        <v>44340</v>
      </c>
      <c r="B362" s="61" t="s">
        <v>913</v>
      </c>
      <c r="C362" s="62" t="s">
        <v>150</v>
      </c>
      <c r="D362" s="46" t="s">
        <v>861</v>
      </c>
      <c r="E362" s="58">
        <v>98710.87</v>
      </c>
      <c r="F362" s="46" t="s">
        <v>224</v>
      </c>
      <c r="G362" s="56" t="s">
        <v>107</v>
      </c>
      <c r="H362" s="56" t="s">
        <v>12</v>
      </c>
      <c r="I362" s="56" t="s">
        <v>108</v>
      </c>
      <c r="J362" s="56">
        <v>43711</v>
      </c>
      <c r="K362" s="59" t="s">
        <v>382</v>
      </c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</row>
    <row r="363" spans="1:47" ht="15.75" customHeight="1">
      <c r="A363" s="60">
        <v>44340</v>
      </c>
      <c r="B363" s="61" t="s">
        <v>924</v>
      </c>
      <c r="C363" s="62" t="s">
        <v>14</v>
      </c>
      <c r="D363" s="46" t="s">
        <v>861</v>
      </c>
      <c r="E363" s="58">
        <v>10000</v>
      </c>
      <c r="F363" s="46" t="s">
        <v>451</v>
      </c>
      <c r="G363" s="46" t="s">
        <v>107</v>
      </c>
      <c r="H363" s="46" t="s">
        <v>12</v>
      </c>
      <c r="I363" s="46" t="s">
        <v>107</v>
      </c>
      <c r="J363" s="79">
        <v>43717</v>
      </c>
      <c r="K363" s="63" t="s">
        <v>382</v>
      </c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</row>
    <row r="364" spans="1:47" ht="15.75" customHeight="1">
      <c r="A364" s="60">
        <v>44340</v>
      </c>
      <c r="B364" s="61" t="s">
        <v>913</v>
      </c>
      <c r="C364" s="62" t="s">
        <v>150</v>
      </c>
      <c r="D364" s="46" t="s">
        <v>54</v>
      </c>
      <c r="E364" s="58">
        <v>1330000</v>
      </c>
      <c r="F364" s="46" t="s">
        <v>224</v>
      </c>
      <c r="G364" s="56" t="s">
        <v>107</v>
      </c>
      <c r="H364" s="56" t="s">
        <v>12</v>
      </c>
      <c r="I364" s="56" t="s">
        <v>108</v>
      </c>
      <c r="J364" s="56">
        <v>43711</v>
      </c>
      <c r="K364" s="59" t="s">
        <v>382</v>
      </c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</row>
    <row r="365" spans="1:47" ht="15.75" customHeight="1">
      <c r="A365" s="60">
        <v>44341</v>
      </c>
      <c r="B365" s="61" t="s">
        <v>990</v>
      </c>
      <c r="C365" s="62" t="s">
        <v>14</v>
      </c>
      <c r="D365" s="46" t="s">
        <v>861</v>
      </c>
      <c r="E365" s="58">
        <v>15000</v>
      </c>
      <c r="F365" s="46" t="s">
        <v>552</v>
      </c>
      <c r="G365" s="46" t="s">
        <v>11</v>
      </c>
      <c r="H365" s="46" t="s">
        <v>17</v>
      </c>
      <c r="I365" s="46" t="s">
        <v>35</v>
      </c>
      <c r="J365" s="56">
        <v>44291</v>
      </c>
      <c r="K365" s="63" t="s">
        <v>304</v>
      </c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</row>
    <row r="366" spans="1:47" ht="15.75" customHeight="1">
      <c r="A366" s="60">
        <v>44341</v>
      </c>
      <c r="B366" s="61" t="s">
        <v>979</v>
      </c>
      <c r="C366" s="62" t="s">
        <v>150</v>
      </c>
      <c r="D366" s="46" t="s">
        <v>861</v>
      </c>
      <c r="E366" s="58">
        <v>10000</v>
      </c>
      <c r="F366" s="46" t="s">
        <v>264</v>
      </c>
      <c r="G366" s="56" t="s">
        <v>11</v>
      </c>
      <c r="H366" s="56" t="s">
        <v>9</v>
      </c>
      <c r="I366" s="56" t="s">
        <v>29</v>
      </c>
      <c r="J366" s="56">
        <v>44279</v>
      </c>
      <c r="K366" s="59" t="s">
        <v>298</v>
      </c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</row>
    <row r="367" spans="1:47" ht="15.75" customHeight="1">
      <c r="A367" s="60">
        <v>44341</v>
      </c>
      <c r="B367" s="61" t="s">
        <v>991</v>
      </c>
      <c r="C367" s="62" t="s">
        <v>150</v>
      </c>
      <c r="D367" s="46" t="s">
        <v>861</v>
      </c>
      <c r="E367" s="58">
        <v>7000</v>
      </c>
      <c r="F367" s="46" t="s">
        <v>226</v>
      </c>
      <c r="G367" s="56" t="s">
        <v>11</v>
      </c>
      <c r="H367" s="56" t="s">
        <v>9</v>
      </c>
      <c r="I367" s="56" t="s">
        <v>29</v>
      </c>
      <c r="J367" s="56">
        <v>44280</v>
      </c>
      <c r="K367" s="59" t="s">
        <v>298</v>
      </c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</row>
    <row r="368" spans="1:47" ht="15.75" customHeight="1">
      <c r="A368" s="60">
        <v>44341</v>
      </c>
      <c r="B368" s="61" t="s">
        <v>992</v>
      </c>
      <c r="C368" s="62" t="s">
        <v>150</v>
      </c>
      <c r="D368" s="46" t="s">
        <v>861</v>
      </c>
      <c r="E368" s="58">
        <v>15000</v>
      </c>
      <c r="F368" s="46" t="s">
        <v>164</v>
      </c>
      <c r="G368" s="56" t="s">
        <v>11</v>
      </c>
      <c r="H368" s="56" t="s">
        <v>9</v>
      </c>
      <c r="I368" s="56" t="s">
        <v>29</v>
      </c>
      <c r="J368" s="56">
        <v>44295</v>
      </c>
      <c r="K368" s="59" t="s">
        <v>295</v>
      </c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</row>
    <row r="369" spans="1:47" ht="15.75" customHeight="1">
      <c r="A369" s="60">
        <v>44341</v>
      </c>
      <c r="B369" s="61" t="s">
        <v>869</v>
      </c>
      <c r="C369" s="62" t="s">
        <v>150</v>
      </c>
      <c r="D369" s="46" t="s">
        <v>861</v>
      </c>
      <c r="E369" s="58">
        <v>10000</v>
      </c>
      <c r="F369" s="46" t="s">
        <v>101</v>
      </c>
      <c r="G369" s="56" t="s">
        <v>107</v>
      </c>
      <c r="H369" s="56" t="s">
        <v>12</v>
      </c>
      <c r="I369" s="56" t="s">
        <v>108</v>
      </c>
      <c r="J369" s="56">
        <v>43605</v>
      </c>
      <c r="K369" s="59" t="s">
        <v>302</v>
      </c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</row>
    <row r="370" spans="1:47" ht="15.75" customHeight="1">
      <c r="A370" s="60">
        <v>44342</v>
      </c>
      <c r="B370" s="61" t="s">
        <v>875</v>
      </c>
      <c r="C370" s="62" t="s">
        <v>150</v>
      </c>
      <c r="D370" s="46" t="s">
        <v>54</v>
      </c>
      <c r="E370" s="58">
        <v>4300</v>
      </c>
      <c r="F370" s="46" t="s">
        <v>217</v>
      </c>
      <c r="G370" s="56" t="s">
        <v>107</v>
      </c>
      <c r="H370" s="56" t="s">
        <v>12</v>
      </c>
      <c r="I370" s="56" t="s">
        <v>153</v>
      </c>
      <c r="J370" s="56">
        <v>43559</v>
      </c>
      <c r="K370" s="59" t="s">
        <v>382</v>
      </c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</row>
    <row r="371" spans="1:47" ht="15.75" customHeight="1">
      <c r="A371" s="60">
        <v>44342</v>
      </c>
      <c r="B371" s="61" t="s">
        <v>993</v>
      </c>
      <c r="C371" s="62" t="s">
        <v>150</v>
      </c>
      <c r="D371" s="46" t="s">
        <v>861</v>
      </c>
      <c r="E371" s="58">
        <v>50000</v>
      </c>
      <c r="F371" s="46" t="s">
        <v>239</v>
      </c>
      <c r="G371" s="56" t="s">
        <v>11</v>
      </c>
      <c r="H371" s="56" t="s">
        <v>9</v>
      </c>
      <c r="I371" s="56" t="s">
        <v>29</v>
      </c>
      <c r="J371" s="56">
        <v>44322</v>
      </c>
      <c r="K371" s="59" t="s">
        <v>298</v>
      </c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</row>
    <row r="372" spans="1:47" ht="15.75" customHeight="1">
      <c r="A372" s="60">
        <v>44342</v>
      </c>
      <c r="B372" s="61" t="s">
        <v>994</v>
      </c>
      <c r="C372" s="62" t="s">
        <v>150</v>
      </c>
      <c r="D372" s="46" t="s">
        <v>861</v>
      </c>
      <c r="E372" s="58">
        <v>0</v>
      </c>
      <c r="F372" s="46" t="s">
        <v>218</v>
      </c>
      <c r="G372" s="56" t="s">
        <v>11</v>
      </c>
      <c r="H372" s="56" t="s">
        <v>9</v>
      </c>
      <c r="I372" s="56" t="s">
        <v>98</v>
      </c>
      <c r="J372" s="56">
        <v>44266</v>
      </c>
      <c r="K372" s="59" t="s">
        <v>302</v>
      </c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</row>
    <row r="373" spans="1:47" ht="15.75" customHeight="1">
      <c r="A373" s="60">
        <v>44342</v>
      </c>
      <c r="B373" s="61" t="s">
        <v>867</v>
      </c>
      <c r="C373" s="62" t="s">
        <v>150</v>
      </c>
      <c r="D373" s="46" t="s">
        <v>861</v>
      </c>
      <c r="E373" s="58">
        <v>40000</v>
      </c>
      <c r="F373" s="46" t="s">
        <v>206</v>
      </c>
      <c r="G373" s="56" t="s">
        <v>107</v>
      </c>
      <c r="H373" s="56" t="s">
        <v>12</v>
      </c>
      <c r="I373" s="56" t="s">
        <v>108</v>
      </c>
      <c r="J373" s="56">
        <v>43703</v>
      </c>
      <c r="K373" s="59" t="s">
        <v>382</v>
      </c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</row>
    <row r="374" spans="1:47" ht="15.75" customHeight="1">
      <c r="A374" s="60">
        <v>44342</v>
      </c>
      <c r="B374" s="61" t="s">
        <v>875</v>
      </c>
      <c r="C374" s="62" t="s">
        <v>150</v>
      </c>
      <c r="D374" s="46" t="s">
        <v>861</v>
      </c>
      <c r="E374" s="58">
        <v>17000</v>
      </c>
      <c r="F374" s="46" t="s">
        <v>217</v>
      </c>
      <c r="G374" s="56" t="s">
        <v>107</v>
      </c>
      <c r="H374" s="56" t="s">
        <v>12</v>
      </c>
      <c r="I374" s="56" t="s">
        <v>153</v>
      </c>
      <c r="J374" s="56">
        <v>43559</v>
      </c>
      <c r="K374" s="59" t="s">
        <v>382</v>
      </c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</row>
    <row r="375" spans="1:47" ht="15.75" customHeight="1">
      <c r="A375" s="60">
        <v>44343</v>
      </c>
      <c r="B375" s="61" t="s">
        <v>993</v>
      </c>
      <c r="C375" s="62" t="s">
        <v>150</v>
      </c>
      <c r="D375" s="46" t="s">
        <v>861</v>
      </c>
      <c r="E375" s="58">
        <v>40000</v>
      </c>
      <c r="F375" s="46" t="s">
        <v>239</v>
      </c>
      <c r="G375" s="56" t="s">
        <v>11</v>
      </c>
      <c r="H375" s="56" t="s">
        <v>9</v>
      </c>
      <c r="I375" s="56" t="s">
        <v>29</v>
      </c>
      <c r="J375" s="56">
        <v>44322</v>
      </c>
      <c r="K375" s="59" t="s">
        <v>298</v>
      </c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</row>
    <row r="376" spans="1:47" ht="15.75" customHeight="1">
      <c r="A376" s="60">
        <v>44344</v>
      </c>
      <c r="B376" s="61" t="s">
        <v>995</v>
      </c>
      <c r="C376" s="62" t="s">
        <v>150</v>
      </c>
      <c r="D376" s="46" t="s">
        <v>861</v>
      </c>
      <c r="E376" s="58">
        <v>150000</v>
      </c>
      <c r="F376" s="46" t="s">
        <v>114</v>
      </c>
      <c r="G376" s="56" t="s">
        <v>11</v>
      </c>
      <c r="H376" s="56" t="s">
        <v>9</v>
      </c>
      <c r="I376" s="56" t="s">
        <v>29</v>
      </c>
      <c r="J376" s="56">
        <v>44319</v>
      </c>
      <c r="K376" s="59" t="s">
        <v>298</v>
      </c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</row>
    <row r="377" spans="1:47" ht="15.75" customHeight="1">
      <c r="A377" s="60">
        <v>44344</v>
      </c>
      <c r="B377" s="61" t="s">
        <v>869</v>
      </c>
      <c r="C377" s="62" t="s">
        <v>150</v>
      </c>
      <c r="D377" s="46" t="s">
        <v>861</v>
      </c>
      <c r="E377" s="58">
        <v>280000</v>
      </c>
      <c r="F377" s="46" t="s">
        <v>101</v>
      </c>
      <c r="G377" s="56" t="s">
        <v>107</v>
      </c>
      <c r="H377" s="56" t="s">
        <v>12</v>
      </c>
      <c r="I377" s="56" t="s">
        <v>108</v>
      </c>
      <c r="J377" s="56">
        <v>43605</v>
      </c>
      <c r="K377" s="59" t="s">
        <v>302</v>
      </c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</row>
    <row r="378" spans="1:47" ht="15.75" customHeight="1">
      <c r="A378" s="60">
        <v>44347</v>
      </c>
      <c r="B378" s="61" t="s">
        <v>996</v>
      </c>
      <c r="C378" s="62" t="s">
        <v>150</v>
      </c>
      <c r="D378" s="46" t="s">
        <v>861</v>
      </c>
      <c r="E378" s="58">
        <v>2000</v>
      </c>
      <c r="F378" s="46" t="s">
        <v>87</v>
      </c>
      <c r="G378" s="56" t="s">
        <v>11</v>
      </c>
      <c r="H378" s="56" t="s">
        <v>9</v>
      </c>
      <c r="I378" s="56" t="s">
        <v>10</v>
      </c>
      <c r="J378" s="56">
        <v>44280</v>
      </c>
      <c r="K378" s="59" t="s">
        <v>295</v>
      </c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</row>
    <row r="379" spans="1:47" ht="15.75" customHeight="1">
      <c r="A379" s="60">
        <v>44347</v>
      </c>
      <c r="B379" s="61" t="s">
        <v>122</v>
      </c>
      <c r="C379" s="62" t="s">
        <v>120</v>
      </c>
      <c r="D379" s="46" t="s">
        <v>54</v>
      </c>
      <c r="E379" s="58">
        <v>57300</v>
      </c>
      <c r="F379" s="46" t="s">
        <v>121</v>
      </c>
      <c r="G379" s="56" t="s">
        <v>11</v>
      </c>
      <c r="H379" s="56" t="s">
        <v>12</v>
      </c>
      <c r="I379" s="56" t="s">
        <v>123</v>
      </c>
      <c r="J379" s="56">
        <v>43759</v>
      </c>
      <c r="K379" s="59" t="s">
        <v>543</v>
      </c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</row>
    <row r="380" spans="1:47" ht="15.75" customHeight="1">
      <c r="A380" s="60">
        <v>44347</v>
      </c>
      <c r="B380" s="61" t="s">
        <v>997</v>
      </c>
      <c r="C380" s="62" t="s">
        <v>150</v>
      </c>
      <c r="D380" s="46" t="s">
        <v>861</v>
      </c>
      <c r="E380" s="58">
        <v>13000</v>
      </c>
      <c r="F380" s="46" t="s">
        <v>73</v>
      </c>
      <c r="G380" s="56" t="s">
        <v>11</v>
      </c>
      <c r="H380" s="56" t="s">
        <v>9</v>
      </c>
      <c r="I380" s="56" t="s">
        <v>10</v>
      </c>
      <c r="J380" s="56">
        <v>44322</v>
      </c>
      <c r="K380" s="59" t="s">
        <v>298</v>
      </c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</row>
    <row r="381" spans="1:47" ht="15.75" customHeight="1">
      <c r="A381" s="60">
        <v>44348</v>
      </c>
      <c r="B381" s="61" t="s">
        <v>962</v>
      </c>
      <c r="C381" s="62" t="s">
        <v>14</v>
      </c>
      <c r="D381" s="46" t="s">
        <v>861</v>
      </c>
      <c r="E381" s="58">
        <v>50000</v>
      </c>
      <c r="F381" s="46" t="s">
        <v>520</v>
      </c>
      <c r="G381" s="46" t="s">
        <v>24</v>
      </c>
      <c r="H381" s="46" t="s">
        <v>12</v>
      </c>
      <c r="I381" s="46" t="s">
        <v>434</v>
      </c>
      <c r="J381" s="77">
        <v>44180</v>
      </c>
      <c r="K381" s="63" t="s">
        <v>298</v>
      </c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</row>
    <row r="382" spans="1:47" ht="15.75" customHeight="1">
      <c r="A382" s="60">
        <v>44348</v>
      </c>
      <c r="B382" s="61" t="s">
        <v>928</v>
      </c>
      <c r="C382" s="62" t="s">
        <v>150</v>
      </c>
      <c r="D382" s="46" t="s">
        <v>861</v>
      </c>
      <c r="E382" s="58">
        <v>40000</v>
      </c>
      <c r="F382" s="46" t="s">
        <v>53</v>
      </c>
      <c r="G382" s="56" t="s">
        <v>11</v>
      </c>
      <c r="H382" s="56" t="s">
        <v>9</v>
      </c>
      <c r="I382" s="56" t="s">
        <v>10</v>
      </c>
      <c r="J382" s="56">
        <v>44321</v>
      </c>
      <c r="K382" s="59" t="s">
        <v>298</v>
      </c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</row>
    <row r="383" spans="1:47" ht="15.75" customHeight="1">
      <c r="A383" s="60">
        <v>44349</v>
      </c>
      <c r="B383" s="61" t="s">
        <v>997</v>
      </c>
      <c r="C383" s="62" t="s">
        <v>150</v>
      </c>
      <c r="D383" s="46" t="s">
        <v>861</v>
      </c>
      <c r="E383" s="58">
        <v>10000</v>
      </c>
      <c r="F383" s="46" t="s">
        <v>73</v>
      </c>
      <c r="G383" s="56" t="s">
        <v>11</v>
      </c>
      <c r="H383" s="56" t="s">
        <v>9</v>
      </c>
      <c r="I383" s="56" t="s">
        <v>10</v>
      </c>
      <c r="J383" s="56">
        <v>44322</v>
      </c>
      <c r="K383" s="59" t="s">
        <v>298</v>
      </c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</row>
    <row r="384" spans="1:47" ht="15.75" customHeight="1">
      <c r="A384" s="60">
        <v>44349</v>
      </c>
      <c r="B384" s="61" t="s">
        <v>998</v>
      </c>
      <c r="C384" s="62" t="s">
        <v>150</v>
      </c>
      <c r="D384" s="46" t="s">
        <v>861</v>
      </c>
      <c r="E384" s="58">
        <v>31306.959999999999</v>
      </c>
      <c r="F384" s="46" t="s">
        <v>185</v>
      </c>
      <c r="G384" s="56" t="s">
        <v>11</v>
      </c>
      <c r="H384" s="56" t="s">
        <v>9</v>
      </c>
      <c r="I384" s="56" t="s">
        <v>10</v>
      </c>
      <c r="J384" s="56">
        <v>44328</v>
      </c>
      <c r="K384" s="59" t="s">
        <v>298</v>
      </c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</row>
    <row r="385" spans="1:47" ht="15.75" customHeight="1">
      <c r="A385" s="60">
        <v>44351</v>
      </c>
      <c r="B385" s="61" t="s">
        <v>999</v>
      </c>
      <c r="C385" s="62" t="s">
        <v>150</v>
      </c>
      <c r="D385" s="46" t="s">
        <v>861</v>
      </c>
      <c r="E385" s="58">
        <v>9000</v>
      </c>
      <c r="F385" s="46" t="s">
        <v>172</v>
      </c>
      <c r="G385" s="56" t="s">
        <v>11</v>
      </c>
      <c r="H385" s="56" t="s">
        <v>9</v>
      </c>
      <c r="I385" s="56" t="s">
        <v>98</v>
      </c>
      <c r="J385" s="56">
        <v>44260</v>
      </c>
      <c r="K385" s="59" t="s">
        <v>298</v>
      </c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</row>
    <row r="386" spans="1:47" ht="15.75" customHeight="1">
      <c r="A386" s="60">
        <v>44351</v>
      </c>
      <c r="B386" s="61" t="s">
        <v>888</v>
      </c>
      <c r="C386" s="62" t="s">
        <v>150</v>
      </c>
      <c r="D386" s="46" t="s">
        <v>861</v>
      </c>
      <c r="E386" s="58">
        <v>40000</v>
      </c>
      <c r="F386" s="46" t="s">
        <v>106</v>
      </c>
      <c r="G386" s="56" t="s">
        <v>107</v>
      </c>
      <c r="H386" s="56" t="s">
        <v>12</v>
      </c>
      <c r="I386" s="56" t="s">
        <v>108</v>
      </c>
      <c r="J386" s="56">
        <v>43564</v>
      </c>
      <c r="K386" s="59" t="s">
        <v>304</v>
      </c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</row>
    <row r="387" spans="1:47" ht="15.75" customHeight="1">
      <c r="A387" s="60">
        <v>44353</v>
      </c>
      <c r="B387" s="61" t="s">
        <v>1000</v>
      </c>
      <c r="C387" s="62" t="s">
        <v>14</v>
      </c>
      <c r="D387" s="46" t="s">
        <v>861</v>
      </c>
      <c r="E387" s="58">
        <v>506343.93</v>
      </c>
      <c r="F387" s="46" t="s">
        <v>330</v>
      </c>
      <c r="G387" s="46" t="s">
        <v>11</v>
      </c>
      <c r="H387" s="46" t="s">
        <v>17</v>
      </c>
      <c r="I387" s="46" t="s">
        <v>35</v>
      </c>
      <c r="J387" s="80">
        <v>44298</v>
      </c>
      <c r="K387" s="63" t="s">
        <v>302</v>
      </c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</row>
    <row r="388" spans="1:47" ht="15.75" customHeight="1">
      <c r="A388" s="60">
        <v>44354</v>
      </c>
      <c r="B388" s="61" t="s">
        <v>1001</v>
      </c>
      <c r="C388" s="62" t="s">
        <v>150</v>
      </c>
      <c r="D388" s="46" t="s">
        <v>861</v>
      </c>
      <c r="E388" s="58">
        <v>5000</v>
      </c>
      <c r="F388" s="46" t="s">
        <v>209</v>
      </c>
      <c r="G388" s="56" t="s">
        <v>107</v>
      </c>
      <c r="H388" s="56" t="s">
        <v>12</v>
      </c>
      <c r="I388" s="56" t="s">
        <v>153</v>
      </c>
      <c r="J388" s="56">
        <v>43752</v>
      </c>
      <c r="K388" s="59" t="s">
        <v>298</v>
      </c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</row>
    <row r="389" spans="1:47" ht="15.75" customHeight="1">
      <c r="A389" s="60">
        <v>44355</v>
      </c>
      <c r="B389" s="61" t="s">
        <v>888</v>
      </c>
      <c r="C389" s="62" t="s">
        <v>150</v>
      </c>
      <c r="D389" s="46" t="s">
        <v>861</v>
      </c>
      <c r="E389" s="58">
        <v>50000</v>
      </c>
      <c r="F389" s="46" t="s">
        <v>106</v>
      </c>
      <c r="G389" s="56" t="s">
        <v>107</v>
      </c>
      <c r="H389" s="56" t="s">
        <v>12</v>
      </c>
      <c r="I389" s="56" t="s">
        <v>108</v>
      </c>
      <c r="J389" s="56">
        <v>43564</v>
      </c>
      <c r="K389" s="59" t="s">
        <v>304</v>
      </c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</row>
    <row r="390" spans="1:47" ht="15.75" customHeight="1">
      <c r="A390" s="60">
        <v>44355</v>
      </c>
      <c r="B390" s="61" t="s">
        <v>929</v>
      </c>
      <c r="C390" s="62" t="s">
        <v>150</v>
      </c>
      <c r="D390" s="46" t="s">
        <v>861</v>
      </c>
      <c r="E390" s="58">
        <v>15000</v>
      </c>
      <c r="F390" s="46" t="s">
        <v>103</v>
      </c>
      <c r="G390" s="56" t="s">
        <v>11</v>
      </c>
      <c r="H390" s="56" t="s">
        <v>9</v>
      </c>
      <c r="I390" s="56" t="s">
        <v>10</v>
      </c>
      <c r="J390" s="56">
        <v>44295</v>
      </c>
      <c r="K390" s="59" t="s">
        <v>301</v>
      </c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</row>
    <row r="391" spans="1:47" ht="15.75" customHeight="1">
      <c r="A391" s="60">
        <v>44355</v>
      </c>
      <c r="B391" s="61" t="s">
        <v>1002</v>
      </c>
      <c r="C391" s="62" t="s">
        <v>150</v>
      </c>
      <c r="D391" s="46" t="s">
        <v>54</v>
      </c>
      <c r="E391" s="58">
        <v>30000</v>
      </c>
      <c r="F391" s="46" t="s">
        <v>243</v>
      </c>
      <c r="G391" s="56" t="s">
        <v>107</v>
      </c>
      <c r="H391" s="56" t="s">
        <v>12</v>
      </c>
      <c r="I391" s="56" t="s">
        <v>107</v>
      </c>
      <c r="J391" s="56">
        <v>44036</v>
      </c>
      <c r="K391" s="59" t="s">
        <v>302</v>
      </c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</row>
    <row r="392" spans="1:47" ht="15.75" customHeight="1">
      <c r="A392" s="60">
        <v>44355</v>
      </c>
      <c r="B392" s="61" t="s">
        <v>867</v>
      </c>
      <c r="C392" s="62" t="s">
        <v>150</v>
      </c>
      <c r="D392" s="46" t="s">
        <v>861</v>
      </c>
      <c r="E392" s="58">
        <v>600000</v>
      </c>
      <c r="F392" s="46" t="s">
        <v>206</v>
      </c>
      <c r="G392" s="56" t="s">
        <v>107</v>
      </c>
      <c r="H392" s="56" t="s">
        <v>12</v>
      </c>
      <c r="I392" s="56" t="s">
        <v>108</v>
      </c>
      <c r="J392" s="56">
        <v>43703</v>
      </c>
      <c r="K392" s="59" t="s">
        <v>382</v>
      </c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</row>
    <row r="393" spans="1:47" ht="15.75" customHeight="1">
      <c r="A393" s="60">
        <v>44355</v>
      </c>
      <c r="B393" s="61" t="s">
        <v>960</v>
      </c>
      <c r="C393" s="62" t="s">
        <v>14</v>
      </c>
      <c r="D393" s="46" t="s">
        <v>861</v>
      </c>
      <c r="E393" s="58">
        <v>40000</v>
      </c>
      <c r="F393" s="46" t="s">
        <v>93</v>
      </c>
      <c r="G393" s="46" t="s">
        <v>24</v>
      </c>
      <c r="H393" s="46" t="s">
        <v>12</v>
      </c>
      <c r="I393" s="46" t="s">
        <v>358</v>
      </c>
      <c r="J393" s="56">
        <v>44134</v>
      </c>
      <c r="K393" s="63" t="s">
        <v>295</v>
      </c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</row>
    <row r="394" spans="1:47" ht="15.75" customHeight="1">
      <c r="A394" s="60">
        <v>44358</v>
      </c>
      <c r="B394" s="61" t="s">
        <v>1003</v>
      </c>
      <c r="C394" s="62" t="s">
        <v>14</v>
      </c>
      <c r="D394" s="46" t="s">
        <v>54</v>
      </c>
      <c r="E394" s="58">
        <v>15000</v>
      </c>
      <c r="F394" s="46" t="s">
        <v>389</v>
      </c>
      <c r="G394" s="46" t="s">
        <v>24</v>
      </c>
      <c r="H394" s="46" t="s">
        <v>12</v>
      </c>
      <c r="I394" s="46" t="s">
        <v>358</v>
      </c>
      <c r="J394" s="56">
        <v>44194</v>
      </c>
      <c r="K394" s="63" t="s">
        <v>298</v>
      </c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</row>
    <row r="395" spans="1:47" ht="15.75" customHeight="1">
      <c r="A395" s="60">
        <v>44362</v>
      </c>
      <c r="B395" s="61" t="s">
        <v>867</v>
      </c>
      <c r="C395" s="62" t="s">
        <v>150</v>
      </c>
      <c r="D395" s="46" t="s">
        <v>861</v>
      </c>
      <c r="E395" s="58">
        <v>100000</v>
      </c>
      <c r="F395" s="46" t="s">
        <v>206</v>
      </c>
      <c r="G395" s="56" t="s">
        <v>107</v>
      </c>
      <c r="H395" s="56" t="s">
        <v>12</v>
      </c>
      <c r="I395" s="56" t="s">
        <v>108</v>
      </c>
      <c r="J395" s="56">
        <v>43703</v>
      </c>
      <c r="K395" s="59" t="s">
        <v>382</v>
      </c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</row>
    <row r="396" spans="1:47" ht="15.75" customHeight="1">
      <c r="A396" s="60">
        <v>44362</v>
      </c>
      <c r="B396" s="61" t="s">
        <v>1004</v>
      </c>
      <c r="C396" s="62" t="s">
        <v>150</v>
      </c>
      <c r="D396" s="46" t="s">
        <v>861</v>
      </c>
      <c r="E396" s="58">
        <v>5000</v>
      </c>
      <c r="F396" s="46" t="s">
        <v>156</v>
      </c>
      <c r="G396" s="56" t="s">
        <v>107</v>
      </c>
      <c r="H396" s="56" t="s">
        <v>12</v>
      </c>
      <c r="I396" s="56" t="s">
        <v>108</v>
      </c>
      <c r="J396" s="56">
        <v>43753</v>
      </c>
      <c r="K396" s="59" t="s">
        <v>298</v>
      </c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</row>
    <row r="397" spans="1:47" ht="15.75" customHeight="1">
      <c r="A397" s="60">
        <v>44362</v>
      </c>
      <c r="B397" s="61" t="s">
        <v>993</v>
      </c>
      <c r="C397" s="62" t="s">
        <v>150</v>
      </c>
      <c r="D397" s="46" t="s">
        <v>861</v>
      </c>
      <c r="E397" s="58">
        <v>312377.96000000002</v>
      </c>
      <c r="F397" s="46" t="s">
        <v>239</v>
      </c>
      <c r="G397" s="56" t="s">
        <v>11</v>
      </c>
      <c r="H397" s="56" t="s">
        <v>9</v>
      </c>
      <c r="I397" s="56" t="s">
        <v>29</v>
      </c>
      <c r="J397" s="56">
        <v>44322</v>
      </c>
      <c r="K397" s="59" t="s">
        <v>298</v>
      </c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</row>
    <row r="398" spans="1:47" ht="15.75" customHeight="1">
      <c r="A398" s="60">
        <v>44362</v>
      </c>
      <c r="B398" s="61" t="s">
        <v>1005</v>
      </c>
      <c r="C398" s="62" t="s">
        <v>150</v>
      </c>
      <c r="D398" s="46" t="s">
        <v>861</v>
      </c>
      <c r="E398" s="58">
        <v>15000</v>
      </c>
      <c r="F398" s="46" t="s">
        <v>61</v>
      </c>
      <c r="G398" s="56" t="s">
        <v>11</v>
      </c>
      <c r="H398" s="56" t="s">
        <v>9</v>
      </c>
      <c r="I398" s="56" t="s">
        <v>10</v>
      </c>
      <c r="J398" s="56">
        <v>44319</v>
      </c>
      <c r="K398" s="59" t="s">
        <v>298</v>
      </c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</row>
    <row r="399" spans="1:47" ht="15.75" customHeight="1">
      <c r="A399" s="60">
        <v>44362</v>
      </c>
      <c r="B399" s="61" t="s">
        <v>1006</v>
      </c>
      <c r="C399" s="62" t="s">
        <v>14</v>
      </c>
      <c r="D399" s="46" t="s">
        <v>861</v>
      </c>
      <c r="E399" s="58">
        <v>15000</v>
      </c>
      <c r="F399" s="46" t="s">
        <v>500</v>
      </c>
      <c r="G399" s="46" t="s">
        <v>24</v>
      </c>
      <c r="H399" s="46" t="s">
        <v>12</v>
      </c>
      <c r="I399" s="46" t="s">
        <v>128</v>
      </c>
      <c r="J399" s="56">
        <v>44090</v>
      </c>
      <c r="K399" s="63" t="s">
        <v>302</v>
      </c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</row>
    <row r="400" spans="1:47" ht="15.75" customHeight="1">
      <c r="A400" s="60">
        <v>44363</v>
      </c>
      <c r="B400" s="61" t="s">
        <v>888</v>
      </c>
      <c r="C400" s="62" t="s">
        <v>150</v>
      </c>
      <c r="D400" s="46" t="s">
        <v>861</v>
      </c>
      <c r="E400" s="58">
        <v>40000</v>
      </c>
      <c r="F400" s="46" t="s">
        <v>106</v>
      </c>
      <c r="G400" s="56" t="s">
        <v>107</v>
      </c>
      <c r="H400" s="56" t="s">
        <v>12</v>
      </c>
      <c r="I400" s="56" t="s">
        <v>108</v>
      </c>
      <c r="J400" s="56">
        <v>43564</v>
      </c>
      <c r="K400" s="59" t="s">
        <v>304</v>
      </c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</row>
    <row r="401" spans="1:47" ht="15.75" customHeight="1">
      <c r="A401" s="60">
        <v>44364</v>
      </c>
      <c r="B401" s="61" t="s">
        <v>993</v>
      </c>
      <c r="C401" s="62" t="s">
        <v>150</v>
      </c>
      <c r="D401" s="46" t="s">
        <v>861</v>
      </c>
      <c r="E401" s="58">
        <v>11500</v>
      </c>
      <c r="F401" s="46" t="s">
        <v>239</v>
      </c>
      <c r="G401" s="56" t="s">
        <v>11</v>
      </c>
      <c r="H401" s="56" t="s">
        <v>9</v>
      </c>
      <c r="I401" s="56" t="s">
        <v>29</v>
      </c>
      <c r="J401" s="56">
        <v>44322</v>
      </c>
      <c r="K401" s="59" t="s">
        <v>298</v>
      </c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</row>
    <row r="402" spans="1:47" ht="15.75" customHeight="1">
      <c r="A402" s="60">
        <v>44365</v>
      </c>
      <c r="B402" s="61" t="s">
        <v>992</v>
      </c>
      <c r="C402" s="62" t="s">
        <v>150</v>
      </c>
      <c r="D402" s="46" t="s">
        <v>861</v>
      </c>
      <c r="E402" s="58">
        <v>100000</v>
      </c>
      <c r="F402" s="46" t="s">
        <v>164</v>
      </c>
      <c r="G402" s="56" t="s">
        <v>11</v>
      </c>
      <c r="H402" s="56" t="s">
        <v>9</v>
      </c>
      <c r="I402" s="56" t="s">
        <v>29</v>
      </c>
      <c r="J402" s="56">
        <v>44295</v>
      </c>
      <c r="K402" s="59" t="s">
        <v>295</v>
      </c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</row>
    <row r="403" spans="1:47" ht="15.75" customHeight="1">
      <c r="A403" s="60">
        <v>44368</v>
      </c>
      <c r="B403" s="61" t="s">
        <v>883</v>
      </c>
      <c r="C403" s="62" t="s">
        <v>150</v>
      </c>
      <c r="D403" s="46" t="s">
        <v>861</v>
      </c>
      <c r="E403" s="58">
        <v>100000</v>
      </c>
      <c r="F403" s="46" t="s">
        <v>113</v>
      </c>
      <c r="G403" s="56" t="s">
        <v>107</v>
      </c>
      <c r="H403" s="56" t="s">
        <v>12</v>
      </c>
      <c r="I403" s="56" t="s">
        <v>108</v>
      </c>
      <c r="J403" s="56">
        <v>43894</v>
      </c>
      <c r="K403" s="59" t="s">
        <v>302</v>
      </c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</row>
    <row r="404" spans="1:47" ht="15.75" customHeight="1">
      <c r="A404" s="60">
        <v>44368</v>
      </c>
      <c r="B404" s="61" t="s">
        <v>1007</v>
      </c>
      <c r="C404" s="62" t="s">
        <v>14</v>
      </c>
      <c r="D404" s="46" t="s">
        <v>54</v>
      </c>
      <c r="E404" s="58">
        <v>7000</v>
      </c>
      <c r="F404" s="46" t="s">
        <v>390</v>
      </c>
      <c r="G404" s="46" t="s">
        <v>11</v>
      </c>
      <c r="H404" s="46" t="s">
        <v>12</v>
      </c>
      <c r="I404" s="46" t="s">
        <v>297</v>
      </c>
      <c r="J404" s="56">
        <v>44075</v>
      </c>
      <c r="K404" s="63" t="s">
        <v>298</v>
      </c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</row>
    <row r="405" spans="1:47" ht="15.75" customHeight="1">
      <c r="A405" s="56">
        <v>44369</v>
      </c>
      <c r="B405" s="57" t="s">
        <v>878</v>
      </c>
      <c r="C405" s="46" t="s">
        <v>14</v>
      </c>
      <c r="D405" s="46" t="s">
        <v>237</v>
      </c>
      <c r="E405" s="58">
        <v>0</v>
      </c>
      <c r="F405" s="46" t="s">
        <v>458</v>
      </c>
      <c r="G405" s="46" t="s">
        <v>107</v>
      </c>
      <c r="H405" s="46" t="s">
        <v>12</v>
      </c>
      <c r="I405" s="46" t="s">
        <v>107</v>
      </c>
      <c r="J405" s="56">
        <v>43872</v>
      </c>
      <c r="K405" s="63" t="s">
        <v>298</v>
      </c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</row>
    <row r="406" spans="1:47" ht="15.75" customHeight="1">
      <c r="A406" s="60">
        <v>44369</v>
      </c>
      <c r="B406" s="61" t="s">
        <v>995</v>
      </c>
      <c r="C406" s="62" t="s">
        <v>150</v>
      </c>
      <c r="D406" s="46" t="s">
        <v>861</v>
      </c>
      <c r="E406" s="58">
        <v>30000</v>
      </c>
      <c r="F406" s="46" t="s">
        <v>114</v>
      </c>
      <c r="G406" s="56" t="s">
        <v>11</v>
      </c>
      <c r="H406" s="56" t="s">
        <v>9</v>
      </c>
      <c r="I406" s="56" t="s">
        <v>29</v>
      </c>
      <c r="J406" s="56">
        <v>44319</v>
      </c>
      <c r="K406" s="59" t="s">
        <v>298</v>
      </c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</row>
    <row r="407" spans="1:47" ht="15.75" customHeight="1">
      <c r="A407" s="60">
        <v>44370</v>
      </c>
      <c r="B407" s="61" t="s">
        <v>1008</v>
      </c>
      <c r="C407" s="62" t="s">
        <v>14</v>
      </c>
      <c r="D407" s="46" t="s">
        <v>861</v>
      </c>
      <c r="E407" s="58">
        <v>10000</v>
      </c>
      <c r="F407" s="46" t="s">
        <v>60</v>
      </c>
      <c r="G407" s="46" t="s">
        <v>24</v>
      </c>
      <c r="H407" s="46" t="s">
        <v>12</v>
      </c>
      <c r="I407" s="46" t="s">
        <v>365</v>
      </c>
      <c r="J407" s="56">
        <v>44145</v>
      </c>
      <c r="K407" s="63" t="s">
        <v>295</v>
      </c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</row>
    <row r="408" spans="1:47" ht="15.75" customHeight="1">
      <c r="A408" s="60">
        <v>44371</v>
      </c>
      <c r="B408" s="61" t="s">
        <v>1009</v>
      </c>
      <c r="C408" s="62" t="s">
        <v>14</v>
      </c>
      <c r="D408" s="46" t="s">
        <v>861</v>
      </c>
      <c r="E408" s="58">
        <v>150000</v>
      </c>
      <c r="F408" s="46" t="s">
        <v>505</v>
      </c>
      <c r="G408" s="46" t="s">
        <v>11</v>
      </c>
      <c r="H408" s="46" t="s">
        <v>17</v>
      </c>
      <c r="I408" s="46" t="s">
        <v>35</v>
      </c>
      <c r="J408" s="56">
        <v>44349</v>
      </c>
      <c r="K408" s="63" t="s">
        <v>343</v>
      </c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</row>
    <row r="409" spans="1:47" ht="15.75" customHeight="1">
      <c r="A409" s="60">
        <v>44372</v>
      </c>
      <c r="B409" s="61" t="s">
        <v>869</v>
      </c>
      <c r="C409" s="62" t="s">
        <v>150</v>
      </c>
      <c r="D409" s="46" t="s">
        <v>861</v>
      </c>
      <c r="E409" s="58">
        <v>200000</v>
      </c>
      <c r="F409" s="46" t="s">
        <v>101</v>
      </c>
      <c r="G409" s="56" t="s">
        <v>107</v>
      </c>
      <c r="H409" s="56" t="s">
        <v>12</v>
      </c>
      <c r="I409" s="56" t="s">
        <v>108</v>
      </c>
      <c r="J409" s="56">
        <v>43605</v>
      </c>
      <c r="K409" s="59" t="s">
        <v>302</v>
      </c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</row>
    <row r="410" spans="1:47" ht="15.75" customHeight="1">
      <c r="A410" s="60">
        <v>44372</v>
      </c>
      <c r="B410" s="61" t="s">
        <v>979</v>
      </c>
      <c r="C410" s="62" t="s">
        <v>150</v>
      </c>
      <c r="D410" s="46" t="s">
        <v>861</v>
      </c>
      <c r="E410" s="58">
        <v>60000</v>
      </c>
      <c r="F410" s="46" t="s">
        <v>264</v>
      </c>
      <c r="G410" s="56" t="s">
        <v>11</v>
      </c>
      <c r="H410" s="56" t="s">
        <v>9</v>
      </c>
      <c r="I410" s="56" t="s">
        <v>29</v>
      </c>
      <c r="J410" s="56">
        <v>44279</v>
      </c>
      <c r="K410" s="59" t="s">
        <v>298</v>
      </c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</row>
    <row r="411" spans="1:47" ht="15.75" customHeight="1">
      <c r="A411" s="60">
        <v>44372</v>
      </c>
      <c r="B411" s="61" t="s">
        <v>1010</v>
      </c>
      <c r="C411" s="62" t="s">
        <v>14</v>
      </c>
      <c r="D411" s="46" t="s">
        <v>861</v>
      </c>
      <c r="E411" s="58">
        <v>30000</v>
      </c>
      <c r="F411" s="46" t="s">
        <v>317</v>
      </c>
      <c r="G411" s="46" t="s">
        <v>24</v>
      </c>
      <c r="H411" s="46" t="s">
        <v>12</v>
      </c>
      <c r="I411" s="39" t="s">
        <v>318</v>
      </c>
      <c r="J411" s="56">
        <v>44180</v>
      </c>
      <c r="K411" s="63" t="s">
        <v>302</v>
      </c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</row>
    <row r="412" spans="1:47" ht="15.75" customHeight="1">
      <c r="A412" s="56">
        <v>44375</v>
      </c>
      <c r="B412" s="57" t="s">
        <v>1011</v>
      </c>
      <c r="C412" s="46" t="s">
        <v>150</v>
      </c>
      <c r="D412" s="46" t="s">
        <v>237</v>
      </c>
      <c r="E412" s="58">
        <v>373842.57</v>
      </c>
      <c r="F412" s="46" t="s">
        <v>193</v>
      </c>
      <c r="G412" s="56" t="s">
        <v>104</v>
      </c>
      <c r="H412" s="56" t="s">
        <v>12</v>
      </c>
      <c r="I412" s="75" t="s">
        <v>104</v>
      </c>
      <c r="J412" s="56">
        <v>43829</v>
      </c>
      <c r="K412" s="59" t="s">
        <v>304</v>
      </c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</row>
    <row r="413" spans="1:47" ht="15.75" customHeight="1">
      <c r="A413" s="60">
        <v>44375</v>
      </c>
      <c r="B413" s="61" t="s">
        <v>922</v>
      </c>
      <c r="C413" s="62" t="s">
        <v>150</v>
      </c>
      <c r="D413" s="46" t="s">
        <v>861</v>
      </c>
      <c r="E413" s="58">
        <v>8000</v>
      </c>
      <c r="F413" s="46" t="s">
        <v>246</v>
      </c>
      <c r="G413" s="56" t="s">
        <v>107</v>
      </c>
      <c r="H413" s="56" t="s">
        <v>12</v>
      </c>
      <c r="I413" s="56" t="s">
        <v>108</v>
      </c>
      <c r="J413" s="56">
        <v>43873</v>
      </c>
      <c r="K413" s="59" t="s">
        <v>298</v>
      </c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</row>
    <row r="414" spans="1:47" ht="15.75" customHeight="1">
      <c r="A414" s="60">
        <v>44375</v>
      </c>
      <c r="B414" s="61" t="s">
        <v>867</v>
      </c>
      <c r="C414" s="62" t="s">
        <v>150</v>
      </c>
      <c r="D414" s="46" t="s">
        <v>861</v>
      </c>
      <c r="E414" s="58">
        <v>504274.77</v>
      </c>
      <c r="F414" s="46" t="s">
        <v>206</v>
      </c>
      <c r="G414" s="56" t="s">
        <v>107</v>
      </c>
      <c r="H414" s="56" t="s">
        <v>12</v>
      </c>
      <c r="I414" s="56" t="s">
        <v>108</v>
      </c>
      <c r="J414" s="56">
        <v>43703</v>
      </c>
      <c r="K414" s="59" t="s">
        <v>382</v>
      </c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</row>
    <row r="415" spans="1:47" ht="15.75" customHeight="1">
      <c r="A415" s="60">
        <v>44375</v>
      </c>
      <c r="B415" s="61" t="s">
        <v>867</v>
      </c>
      <c r="C415" s="62" t="s">
        <v>150</v>
      </c>
      <c r="D415" s="46" t="s">
        <v>861</v>
      </c>
      <c r="E415" s="58">
        <v>150000</v>
      </c>
      <c r="F415" s="46" t="s">
        <v>206</v>
      </c>
      <c r="G415" s="56" t="s">
        <v>107</v>
      </c>
      <c r="H415" s="56" t="s">
        <v>12</v>
      </c>
      <c r="I415" s="56" t="s">
        <v>108</v>
      </c>
      <c r="J415" s="56">
        <v>43703</v>
      </c>
      <c r="K415" s="59" t="s">
        <v>382</v>
      </c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</row>
    <row r="416" spans="1:47" ht="15.75" customHeight="1">
      <c r="A416" s="60">
        <v>44375</v>
      </c>
      <c r="B416" s="61" t="s">
        <v>997</v>
      </c>
      <c r="C416" s="62" t="s">
        <v>150</v>
      </c>
      <c r="D416" s="46" t="s">
        <v>861</v>
      </c>
      <c r="E416" s="58">
        <v>399197.6</v>
      </c>
      <c r="F416" s="46" t="s">
        <v>73</v>
      </c>
      <c r="G416" s="56" t="s">
        <v>11</v>
      </c>
      <c r="H416" s="56" t="s">
        <v>9</v>
      </c>
      <c r="I416" s="56" t="s">
        <v>10</v>
      </c>
      <c r="J416" s="56">
        <v>44322</v>
      </c>
      <c r="K416" s="59" t="s">
        <v>298</v>
      </c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</row>
    <row r="417" spans="1:47" ht="15.75" customHeight="1">
      <c r="A417" s="60">
        <v>44376</v>
      </c>
      <c r="B417" s="61" t="s">
        <v>1012</v>
      </c>
      <c r="C417" s="62" t="s">
        <v>150</v>
      </c>
      <c r="D417" s="46" t="s">
        <v>861</v>
      </c>
      <c r="E417" s="58">
        <v>45000</v>
      </c>
      <c r="F417" s="46" t="s">
        <v>212</v>
      </c>
      <c r="G417" s="56" t="s">
        <v>11</v>
      </c>
      <c r="H417" s="56" t="s">
        <v>9</v>
      </c>
      <c r="I417" s="56" t="s">
        <v>10</v>
      </c>
      <c r="J417" s="56">
        <v>44313</v>
      </c>
      <c r="K417" s="59" t="s">
        <v>298</v>
      </c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</row>
    <row r="418" spans="1:47" ht="15.75" customHeight="1">
      <c r="A418" s="60">
        <v>44377</v>
      </c>
      <c r="B418" s="61" t="s">
        <v>1013</v>
      </c>
      <c r="C418" s="62" t="s">
        <v>150</v>
      </c>
      <c r="D418" s="46" t="s">
        <v>861</v>
      </c>
      <c r="E418" s="58">
        <v>40000</v>
      </c>
      <c r="F418" s="46" t="s">
        <v>63</v>
      </c>
      <c r="G418" s="56" t="s">
        <v>11</v>
      </c>
      <c r="H418" s="56" t="s">
        <v>9</v>
      </c>
      <c r="I418" s="56" t="s">
        <v>10</v>
      </c>
      <c r="J418" s="56">
        <v>44280</v>
      </c>
      <c r="K418" s="59" t="s">
        <v>301</v>
      </c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</row>
    <row r="419" spans="1:47" ht="15.75" customHeight="1">
      <c r="A419" s="60">
        <v>44377</v>
      </c>
      <c r="B419" s="61" t="s">
        <v>975</v>
      </c>
      <c r="C419" s="62" t="s">
        <v>150</v>
      </c>
      <c r="D419" s="46" t="s">
        <v>861</v>
      </c>
      <c r="E419" s="58">
        <v>10000</v>
      </c>
      <c r="F419" s="46" t="s">
        <v>195</v>
      </c>
      <c r="G419" s="56" t="s">
        <v>11</v>
      </c>
      <c r="H419" s="56" t="s">
        <v>9</v>
      </c>
      <c r="I419" s="56" t="s">
        <v>29</v>
      </c>
      <c r="J419" s="56">
        <v>44298</v>
      </c>
      <c r="K419" s="59" t="s">
        <v>298</v>
      </c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</row>
    <row r="420" spans="1:47" ht="15.75" customHeight="1">
      <c r="A420" s="60">
        <v>44377</v>
      </c>
      <c r="B420" s="61" t="s">
        <v>883</v>
      </c>
      <c r="C420" s="62" t="s">
        <v>150</v>
      </c>
      <c r="D420" s="46" t="s">
        <v>861</v>
      </c>
      <c r="E420" s="58">
        <v>62000</v>
      </c>
      <c r="F420" s="46" t="s">
        <v>113</v>
      </c>
      <c r="G420" s="56" t="s">
        <v>107</v>
      </c>
      <c r="H420" s="56" t="s">
        <v>12</v>
      </c>
      <c r="I420" s="56" t="s">
        <v>108</v>
      </c>
      <c r="J420" s="56">
        <v>43894</v>
      </c>
      <c r="K420" s="59" t="s">
        <v>302</v>
      </c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</row>
    <row r="421" spans="1:47" ht="15.75" customHeight="1">
      <c r="A421" s="60">
        <v>44377</v>
      </c>
      <c r="B421" s="61" t="s">
        <v>1014</v>
      </c>
      <c r="C421" s="62" t="s">
        <v>14</v>
      </c>
      <c r="D421" s="46" t="s">
        <v>861</v>
      </c>
      <c r="E421" s="58">
        <v>10000</v>
      </c>
      <c r="F421" s="46" t="s">
        <v>430</v>
      </c>
      <c r="G421" s="46" t="s">
        <v>24</v>
      </c>
      <c r="H421" s="46" t="s">
        <v>12</v>
      </c>
      <c r="I421" s="46" t="s">
        <v>27</v>
      </c>
      <c r="J421" s="56">
        <v>44102</v>
      </c>
      <c r="K421" s="63" t="s">
        <v>298</v>
      </c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</row>
    <row r="422" spans="1:47" ht="15.75" customHeight="1">
      <c r="A422" s="56">
        <v>44378</v>
      </c>
      <c r="B422" s="57" t="s">
        <v>1015</v>
      </c>
      <c r="C422" s="46" t="s">
        <v>14</v>
      </c>
      <c r="D422" s="46" t="s">
        <v>237</v>
      </c>
      <c r="E422" s="58">
        <v>0</v>
      </c>
      <c r="F422" s="46" t="s">
        <v>399</v>
      </c>
      <c r="G422" s="46" t="s">
        <v>11</v>
      </c>
      <c r="H422" s="46" t="s">
        <v>12</v>
      </c>
      <c r="I422" s="46" t="s">
        <v>400</v>
      </c>
      <c r="J422" s="56">
        <v>44260</v>
      </c>
      <c r="K422" s="63" t="s">
        <v>304</v>
      </c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</row>
    <row r="423" spans="1:47" ht="15.75" customHeight="1">
      <c r="A423" s="56">
        <v>44378</v>
      </c>
      <c r="B423" s="57" t="s">
        <v>1016</v>
      </c>
      <c r="C423" s="46" t="s">
        <v>14</v>
      </c>
      <c r="D423" s="46" t="s">
        <v>237</v>
      </c>
      <c r="E423" s="58">
        <v>0</v>
      </c>
      <c r="F423" s="46" t="s">
        <v>441</v>
      </c>
      <c r="G423" s="46" t="s">
        <v>11</v>
      </c>
      <c r="H423" s="46" t="s">
        <v>12</v>
      </c>
      <c r="I423" s="46" t="s">
        <v>400</v>
      </c>
      <c r="J423" s="56">
        <v>44166</v>
      </c>
      <c r="K423" s="63" t="s">
        <v>298</v>
      </c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</row>
    <row r="424" spans="1:47" ht="15.75" customHeight="1">
      <c r="A424" s="56">
        <v>44378</v>
      </c>
      <c r="B424" s="57" t="s">
        <v>1017</v>
      </c>
      <c r="C424" s="46" t="s">
        <v>14</v>
      </c>
      <c r="D424" s="46" t="s">
        <v>237</v>
      </c>
      <c r="E424" s="58">
        <v>0</v>
      </c>
      <c r="F424" s="46" t="s">
        <v>496</v>
      </c>
      <c r="G424" s="46" t="s">
        <v>11</v>
      </c>
      <c r="H424" s="46" t="s">
        <v>12</v>
      </c>
      <c r="I424" s="46" t="s">
        <v>400</v>
      </c>
      <c r="J424" s="56">
        <v>44291</v>
      </c>
      <c r="K424" s="63" t="s">
        <v>304</v>
      </c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</row>
    <row r="425" spans="1:47" ht="15.75" customHeight="1">
      <c r="A425" s="56">
        <v>44378</v>
      </c>
      <c r="B425" s="57" t="s">
        <v>1018</v>
      </c>
      <c r="C425" s="46" t="s">
        <v>14</v>
      </c>
      <c r="D425" s="46" t="s">
        <v>237</v>
      </c>
      <c r="E425" s="58">
        <v>0</v>
      </c>
      <c r="F425" s="46" t="s">
        <v>568</v>
      </c>
      <c r="G425" s="46" t="s">
        <v>11</v>
      </c>
      <c r="H425" s="46" t="s">
        <v>12</v>
      </c>
      <c r="I425" s="46" t="s">
        <v>400</v>
      </c>
      <c r="J425" s="56">
        <v>44166</v>
      </c>
      <c r="K425" s="63" t="s">
        <v>298</v>
      </c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</row>
    <row r="426" spans="1:47" ht="15.75" customHeight="1">
      <c r="A426" s="60">
        <v>44378</v>
      </c>
      <c r="B426" s="61" t="s">
        <v>1019</v>
      </c>
      <c r="C426" s="62" t="s">
        <v>150</v>
      </c>
      <c r="D426" s="46" t="s">
        <v>861</v>
      </c>
      <c r="E426" s="58">
        <v>20000</v>
      </c>
      <c r="F426" s="46" t="s">
        <v>43</v>
      </c>
      <c r="G426" s="56" t="s">
        <v>11</v>
      </c>
      <c r="H426" s="56" t="s">
        <v>9</v>
      </c>
      <c r="I426" s="56" t="s">
        <v>10</v>
      </c>
      <c r="J426" s="56">
        <v>44358</v>
      </c>
      <c r="K426" s="59" t="s">
        <v>298</v>
      </c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</row>
    <row r="427" spans="1:47" ht="15.75" customHeight="1">
      <c r="A427" s="60">
        <v>44378</v>
      </c>
      <c r="B427" s="61" t="s">
        <v>1020</v>
      </c>
      <c r="C427" s="62" t="s">
        <v>14</v>
      </c>
      <c r="D427" s="46" t="s">
        <v>861</v>
      </c>
      <c r="E427" s="58">
        <v>50000</v>
      </c>
      <c r="F427" s="46" t="s">
        <v>479</v>
      </c>
      <c r="G427" s="46" t="s">
        <v>24</v>
      </c>
      <c r="H427" s="46" t="s">
        <v>12</v>
      </c>
      <c r="I427" s="46" t="s">
        <v>357</v>
      </c>
      <c r="J427" s="56">
        <v>44183</v>
      </c>
      <c r="K427" s="63" t="s">
        <v>298</v>
      </c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</row>
    <row r="428" spans="1:47" ht="15.75" customHeight="1">
      <c r="A428" s="60">
        <v>44378</v>
      </c>
      <c r="B428" s="61" t="s">
        <v>1021</v>
      </c>
      <c r="C428" s="62" t="s">
        <v>150</v>
      </c>
      <c r="D428" s="46" t="s">
        <v>861</v>
      </c>
      <c r="E428" s="58">
        <v>13000</v>
      </c>
      <c r="F428" s="46" t="s">
        <v>196</v>
      </c>
      <c r="G428" s="56" t="s">
        <v>11</v>
      </c>
      <c r="H428" s="56" t="s">
        <v>9</v>
      </c>
      <c r="I428" s="56" t="s">
        <v>10</v>
      </c>
      <c r="J428" s="56">
        <v>44322</v>
      </c>
      <c r="K428" s="59" t="s">
        <v>298</v>
      </c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</row>
    <row r="429" spans="1:47" ht="15.75" customHeight="1">
      <c r="A429" s="60">
        <v>44378</v>
      </c>
      <c r="B429" s="61" t="s">
        <v>928</v>
      </c>
      <c r="C429" s="62" t="s">
        <v>150</v>
      </c>
      <c r="D429" s="46" t="s">
        <v>861</v>
      </c>
      <c r="E429" s="58">
        <v>46000</v>
      </c>
      <c r="F429" s="46" t="s">
        <v>53</v>
      </c>
      <c r="G429" s="56" t="s">
        <v>11</v>
      </c>
      <c r="H429" s="56" t="s">
        <v>9</v>
      </c>
      <c r="I429" s="56" t="s">
        <v>10</v>
      </c>
      <c r="J429" s="56">
        <v>44321</v>
      </c>
      <c r="K429" s="59" t="s">
        <v>298</v>
      </c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</row>
    <row r="430" spans="1:47" ht="15.75" customHeight="1">
      <c r="A430" s="60">
        <v>44379</v>
      </c>
      <c r="B430" s="61" t="s">
        <v>993</v>
      </c>
      <c r="C430" s="62" t="s">
        <v>150</v>
      </c>
      <c r="D430" s="46" t="s">
        <v>861</v>
      </c>
      <c r="E430" s="58">
        <v>60000</v>
      </c>
      <c r="F430" s="46" t="s">
        <v>239</v>
      </c>
      <c r="G430" s="56" t="s">
        <v>11</v>
      </c>
      <c r="H430" s="56" t="s">
        <v>9</v>
      </c>
      <c r="I430" s="56" t="s">
        <v>29</v>
      </c>
      <c r="J430" s="56">
        <v>44322</v>
      </c>
      <c r="K430" s="59" t="s">
        <v>298</v>
      </c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</row>
    <row r="431" spans="1:47" ht="15.75" customHeight="1">
      <c r="A431" s="60">
        <v>44379</v>
      </c>
      <c r="B431" s="61" t="s">
        <v>964</v>
      </c>
      <c r="C431" s="62" t="s">
        <v>14</v>
      </c>
      <c r="D431" s="46" t="s">
        <v>861</v>
      </c>
      <c r="E431" s="58">
        <v>100000</v>
      </c>
      <c r="F431" s="46" t="s">
        <v>560</v>
      </c>
      <c r="G431" s="46" t="s">
        <v>24</v>
      </c>
      <c r="H431" s="46" t="s">
        <v>12</v>
      </c>
      <c r="I431" s="46" t="s">
        <v>355</v>
      </c>
      <c r="J431" s="56">
        <v>44203</v>
      </c>
      <c r="K431" s="63" t="s">
        <v>298</v>
      </c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</row>
    <row r="432" spans="1:47" ht="15.75" customHeight="1">
      <c r="A432" s="60">
        <v>44383</v>
      </c>
      <c r="B432" s="61" t="s">
        <v>867</v>
      </c>
      <c r="C432" s="62" t="s">
        <v>150</v>
      </c>
      <c r="D432" s="46" t="s">
        <v>861</v>
      </c>
      <c r="E432" s="58">
        <v>50000</v>
      </c>
      <c r="F432" s="46" t="s">
        <v>206</v>
      </c>
      <c r="G432" s="56" t="s">
        <v>107</v>
      </c>
      <c r="H432" s="56" t="s">
        <v>12</v>
      </c>
      <c r="I432" s="56" t="s">
        <v>108</v>
      </c>
      <c r="J432" s="56">
        <v>43703</v>
      </c>
      <c r="K432" s="59" t="s">
        <v>382</v>
      </c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</row>
    <row r="433" spans="1:47" ht="15.75" customHeight="1">
      <c r="A433" s="60">
        <v>44383</v>
      </c>
      <c r="B433" s="61" t="s">
        <v>993</v>
      </c>
      <c r="C433" s="62" t="s">
        <v>150</v>
      </c>
      <c r="D433" s="46" t="s">
        <v>861</v>
      </c>
      <c r="E433" s="58">
        <v>8000</v>
      </c>
      <c r="F433" s="46" t="s">
        <v>239</v>
      </c>
      <c r="G433" s="56" t="s">
        <v>11</v>
      </c>
      <c r="H433" s="56" t="s">
        <v>9</v>
      </c>
      <c r="I433" s="56" t="s">
        <v>29</v>
      </c>
      <c r="J433" s="56">
        <v>44322</v>
      </c>
      <c r="K433" s="59" t="s">
        <v>298</v>
      </c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</row>
    <row r="434" spans="1:47" ht="15.75" customHeight="1">
      <c r="A434" s="56">
        <v>44384</v>
      </c>
      <c r="B434" s="57" t="s">
        <v>1022</v>
      </c>
      <c r="C434" s="46" t="s">
        <v>14</v>
      </c>
      <c r="D434" s="46" t="s">
        <v>237</v>
      </c>
      <c r="E434" s="58">
        <v>0</v>
      </c>
      <c r="F434" s="46" t="s">
        <v>511</v>
      </c>
      <c r="G434" s="46" t="s">
        <v>11</v>
      </c>
      <c r="H434" s="46" t="s">
        <v>12</v>
      </c>
      <c r="I434" s="46" t="s">
        <v>1023</v>
      </c>
      <c r="J434" s="56">
        <v>44384</v>
      </c>
      <c r="K434" s="63" t="s">
        <v>302</v>
      </c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</row>
    <row r="435" spans="1:47" ht="15.75" customHeight="1">
      <c r="A435" s="60">
        <v>44385</v>
      </c>
      <c r="B435" s="61" t="s">
        <v>1024</v>
      </c>
      <c r="C435" s="62" t="s">
        <v>150</v>
      </c>
      <c r="D435" s="46" t="s">
        <v>861</v>
      </c>
      <c r="E435" s="58">
        <v>10000</v>
      </c>
      <c r="F435" s="46" t="s">
        <v>154</v>
      </c>
      <c r="G435" s="56" t="s">
        <v>11</v>
      </c>
      <c r="H435" s="56" t="s">
        <v>9</v>
      </c>
      <c r="I435" s="56" t="s">
        <v>29</v>
      </c>
      <c r="J435" s="56">
        <v>44321</v>
      </c>
      <c r="K435" s="59" t="s">
        <v>302</v>
      </c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</row>
    <row r="436" spans="1:47" ht="15.75" customHeight="1">
      <c r="A436" s="60">
        <v>44386</v>
      </c>
      <c r="B436" s="61" t="s">
        <v>127</v>
      </c>
      <c r="C436" s="62" t="s">
        <v>120</v>
      </c>
      <c r="D436" s="46" t="s">
        <v>861</v>
      </c>
      <c r="E436" s="58">
        <v>47000</v>
      </c>
      <c r="F436" s="46" t="s">
        <v>126</v>
      </c>
      <c r="G436" s="56" t="s">
        <v>11</v>
      </c>
      <c r="H436" s="56" t="s">
        <v>12</v>
      </c>
      <c r="I436" s="56" t="s">
        <v>11</v>
      </c>
      <c r="J436" s="56">
        <v>44062</v>
      </c>
      <c r="K436" s="59" t="s">
        <v>298</v>
      </c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</row>
    <row r="437" spans="1:47" ht="15.75" customHeight="1">
      <c r="A437" s="60">
        <v>44386</v>
      </c>
      <c r="B437" s="61" t="s">
        <v>1008</v>
      </c>
      <c r="C437" s="62" t="s">
        <v>14</v>
      </c>
      <c r="D437" s="46" t="s">
        <v>861</v>
      </c>
      <c r="E437" s="58">
        <v>156000</v>
      </c>
      <c r="F437" s="39" t="s">
        <v>60</v>
      </c>
      <c r="G437" s="46" t="s">
        <v>24</v>
      </c>
      <c r="H437" s="46" t="s">
        <v>12</v>
      </c>
      <c r="I437" s="46" t="s">
        <v>365</v>
      </c>
      <c r="J437" s="77">
        <v>44145</v>
      </c>
      <c r="K437" s="63" t="s">
        <v>295</v>
      </c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</row>
    <row r="438" spans="1:47" ht="15.75" customHeight="1">
      <c r="A438" s="60">
        <v>44389</v>
      </c>
      <c r="B438" s="61" t="s">
        <v>1025</v>
      </c>
      <c r="C438" s="62" t="s">
        <v>150</v>
      </c>
      <c r="D438" s="46" t="s">
        <v>861</v>
      </c>
      <c r="E438" s="58">
        <v>20000</v>
      </c>
      <c r="F438" s="46" t="s">
        <v>251</v>
      </c>
      <c r="G438" s="56" t="s">
        <v>11</v>
      </c>
      <c r="H438" s="56" t="s">
        <v>9</v>
      </c>
      <c r="I438" s="56" t="s">
        <v>10</v>
      </c>
      <c r="J438" s="56">
        <v>44319</v>
      </c>
      <c r="K438" s="59" t="s">
        <v>298</v>
      </c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</row>
    <row r="439" spans="1:47" ht="15.75" customHeight="1">
      <c r="A439" s="60">
        <v>44389</v>
      </c>
      <c r="B439" s="61" t="s">
        <v>1026</v>
      </c>
      <c r="C439" s="62" t="s">
        <v>150</v>
      </c>
      <c r="D439" s="46" t="s">
        <v>861</v>
      </c>
      <c r="E439" s="58">
        <v>5000</v>
      </c>
      <c r="F439" s="46" t="s">
        <v>244</v>
      </c>
      <c r="G439" s="56" t="s">
        <v>11</v>
      </c>
      <c r="H439" s="56" t="s">
        <v>9</v>
      </c>
      <c r="I439" s="56" t="s">
        <v>29</v>
      </c>
      <c r="J439" s="56">
        <v>44321</v>
      </c>
      <c r="K439" s="59" t="s">
        <v>301</v>
      </c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</row>
    <row r="440" spans="1:47" ht="15.75" customHeight="1">
      <c r="A440" s="60">
        <v>44389</v>
      </c>
      <c r="B440" s="61" t="s">
        <v>996</v>
      </c>
      <c r="C440" s="62" t="s">
        <v>150</v>
      </c>
      <c r="D440" s="46" t="s">
        <v>861</v>
      </c>
      <c r="E440" s="58">
        <v>45000</v>
      </c>
      <c r="F440" s="46" t="s">
        <v>87</v>
      </c>
      <c r="G440" s="56" t="s">
        <v>11</v>
      </c>
      <c r="H440" s="56" t="s">
        <v>9</v>
      </c>
      <c r="I440" s="56" t="s">
        <v>10</v>
      </c>
      <c r="J440" s="56">
        <v>44280</v>
      </c>
      <c r="K440" s="59" t="s">
        <v>295</v>
      </c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</row>
    <row r="441" spans="1:47" ht="15.75" customHeight="1">
      <c r="A441" s="56">
        <v>44390</v>
      </c>
      <c r="B441" s="57" t="s">
        <v>1027</v>
      </c>
      <c r="C441" s="46" t="s">
        <v>14</v>
      </c>
      <c r="D441" s="46" t="s">
        <v>237</v>
      </c>
      <c r="E441" s="58">
        <v>0</v>
      </c>
      <c r="F441" s="46" t="s">
        <v>515</v>
      </c>
      <c r="G441" s="46" t="s">
        <v>11</v>
      </c>
      <c r="H441" s="46" t="s">
        <v>12</v>
      </c>
      <c r="I441" s="46" t="s">
        <v>297</v>
      </c>
      <c r="J441" s="56">
        <v>44166</v>
      </c>
      <c r="K441" s="63" t="s">
        <v>298</v>
      </c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</row>
    <row r="442" spans="1:47" ht="15.75" customHeight="1">
      <c r="A442" s="60">
        <v>44390</v>
      </c>
      <c r="B442" s="61" t="s">
        <v>929</v>
      </c>
      <c r="C442" s="62" t="s">
        <v>150</v>
      </c>
      <c r="D442" s="46" t="s">
        <v>861</v>
      </c>
      <c r="E442" s="58">
        <v>6000</v>
      </c>
      <c r="F442" s="46" t="s">
        <v>103</v>
      </c>
      <c r="G442" s="56" t="s">
        <v>11</v>
      </c>
      <c r="H442" s="56" t="s">
        <v>9</v>
      </c>
      <c r="I442" s="56" t="s">
        <v>10</v>
      </c>
      <c r="J442" s="56">
        <v>44295</v>
      </c>
      <c r="K442" s="59" t="s">
        <v>301</v>
      </c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</row>
    <row r="443" spans="1:47" ht="15.75" customHeight="1">
      <c r="A443" s="60">
        <v>44391</v>
      </c>
      <c r="B443" s="61" t="s">
        <v>999</v>
      </c>
      <c r="C443" s="62" t="s">
        <v>150</v>
      </c>
      <c r="D443" s="46" t="s">
        <v>861</v>
      </c>
      <c r="E443" s="58">
        <v>4000</v>
      </c>
      <c r="F443" s="46" t="s">
        <v>172</v>
      </c>
      <c r="G443" s="56" t="s">
        <v>11</v>
      </c>
      <c r="H443" s="56" t="s">
        <v>9</v>
      </c>
      <c r="I443" s="56" t="s">
        <v>98</v>
      </c>
      <c r="J443" s="56">
        <v>44260</v>
      </c>
      <c r="K443" s="59" t="s">
        <v>298</v>
      </c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</row>
    <row r="444" spans="1:47" ht="15.75" customHeight="1">
      <c r="A444" s="56">
        <v>44393</v>
      </c>
      <c r="B444" s="78" t="s">
        <v>1028</v>
      </c>
      <c r="C444" s="46" t="s">
        <v>150</v>
      </c>
      <c r="D444" s="46" t="s">
        <v>237</v>
      </c>
      <c r="E444" s="58">
        <v>156601.32</v>
      </c>
      <c r="F444" s="46" t="s">
        <v>216</v>
      </c>
      <c r="G444" s="56" t="s">
        <v>11</v>
      </c>
      <c r="H444" s="56" t="s">
        <v>9</v>
      </c>
      <c r="I444" s="56" t="s">
        <v>29</v>
      </c>
      <c r="J444" s="56">
        <v>44280</v>
      </c>
      <c r="K444" s="59" t="s">
        <v>298</v>
      </c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</row>
    <row r="445" spans="1:47" ht="15.75" customHeight="1">
      <c r="A445" s="60">
        <v>44393</v>
      </c>
      <c r="B445" s="61" t="s">
        <v>999</v>
      </c>
      <c r="C445" s="62" t="s">
        <v>150</v>
      </c>
      <c r="D445" s="46" t="s">
        <v>861</v>
      </c>
      <c r="E445" s="58">
        <v>107481.43</v>
      </c>
      <c r="F445" s="46" t="s">
        <v>172</v>
      </c>
      <c r="G445" s="56" t="s">
        <v>11</v>
      </c>
      <c r="H445" s="56" t="s">
        <v>9</v>
      </c>
      <c r="I445" s="56" t="s">
        <v>98</v>
      </c>
      <c r="J445" s="56">
        <v>44260</v>
      </c>
      <c r="K445" s="59" t="s">
        <v>298</v>
      </c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</row>
    <row r="446" spans="1:47" ht="15.75" customHeight="1">
      <c r="A446" s="60">
        <v>44393</v>
      </c>
      <c r="B446" s="61" t="s">
        <v>1028</v>
      </c>
      <c r="C446" s="62" t="s">
        <v>150</v>
      </c>
      <c r="D446" s="46" t="s">
        <v>861</v>
      </c>
      <c r="E446" s="58">
        <v>10000</v>
      </c>
      <c r="F446" s="46" t="s">
        <v>216</v>
      </c>
      <c r="G446" s="56" t="s">
        <v>11</v>
      </c>
      <c r="H446" s="56" t="s">
        <v>9</v>
      </c>
      <c r="I446" s="56" t="s">
        <v>29</v>
      </c>
      <c r="J446" s="56">
        <v>44280</v>
      </c>
      <c r="K446" s="59" t="s">
        <v>298</v>
      </c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</row>
    <row r="447" spans="1:47" ht="15.75" customHeight="1">
      <c r="A447" s="60">
        <v>44393</v>
      </c>
      <c r="B447" s="61" t="s">
        <v>1029</v>
      </c>
      <c r="C447" s="62" t="s">
        <v>150</v>
      </c>
      <c r="D447" s="46" t="s">
        <v>861</v>
      </c>
      <c r="E447" s="58">
        <v>20000</v>
      </c>
      <c r="F447" s="46" t="s">
        <v>105</v>
      </c>
      <c r="G447" s="56" t="s">
        <v>11</v>
      </c>
      <c r="H447" s="56" t="s">
        <v>9</v>
      </c>
      <c r="I447" s="56" t="s">
        <v>10</v>
      </c>
      <c r="J447" s="56">
        <v>44263</v>
      </c>
      <c r="K447" s="59" t="s">
        <v>295</v>
      </c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</row>
    <row r="448" spans="1:47" ht="15.75" customHeight="1">
      <c r="A448" s="60">
        <v>44393</v>
      </c>
      <c r="B448" s="61" t="s">
        <v>867</v>
      </c>
      <c r="C448" s="62" t="s">
        <v>150</v>
      </c>
      <c r="D448" s="46" t="s">
        <v>861</v>
      </c>
      <c r="E448" s="58">
        <v>50000</v>
      </c>
      <c r="F448" s="46" t="s">
        <v>206</v>
      </c>
      <c r="G448" s="56" t="s">
        <v>107</v>
      </c>
      <c r="H448" s="56" t="s">
        <v>12</v>
      </c>
      <c r="I448" s="56" t="s">
        <v>108</v>
      </c>
      <c r="J448" s="56">
        <v>43703</v>
      </c>
      <c r="K448" s="59" t="s">
        <v>382</v>
      </c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</row>
    <row r="449" spans="1:47" ht="15.75" customHeight="1">
      <c r="A449" s="56">
        <v>44396</v>
      </c>
      <c r="B449" s="57" t="s">
        <v>1030</v>
      </c>
      <c r="C449" s="46" t="s">
        <v>14</v>
      </c>
      <c r="D449" s="46" t="s">
        <v>237</v>
      </c>
      <c r="E449" s="58">
        <v>0</v>
      </c>
      <c r="F449" s="46" t="s">
        <v>306</v>
      </c>
      <c r="G449" s="46" t="s">
        <v>24</v>
      </c>
      <c r="H449" s="46" t="s">
        <v>12</v>
      </c>
      <c r="I449" s="46" t="s">
        <v>128</v>
      </c>
      <c r="J449" s="56">
        <v>44085</v>
      </c>
      <c r="K449" s="63" t="s">
        <v>302</v>
      </c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</row>
    <row r="450" spans="1:47" ht="15.75" customHeight="1">
      <c r="A450" s="60">
        <v>44396</v>
      </c>
      <c r="B450" s="61" t="s">
        <v>888</v>
      </c>
      <c r="C450" s="62" t="s">
        <v>150</v>
      </c>
      <c r="D450" s="46" t="s">
        <v>861</v>
      </c>
      <c r="E450" s="58">
        <v>10000</v>
      </c>
      <c r="F450" s="46" t="s">
        <v>106</v>
      </c>
      <c r="G450" s="56" t="s">
        <v>107</v>
      </c>
      <c r="H450" s="56" t="s">
        <v>12</v>
      </c>
      <c r="I450" s="56" t="s">
        <v>108</v>
      </c>
      <c r="J450" s="56">
        <v>43564</v>
      </c>
      <c r="K450" s="59" t="s">
        <v>304</v>
      </c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</row>
    <row r="451" spans="1:47" ht="15.75" customHeight="1">
      <c r="A451" s="60">
        <v>44396</v>
      </c>
      <c r="B451" s="61" t="s">
        <v>993</v>
      </c>
      <c r="C451" s="62" t="s">
        <v>150</v>
      </c>
      <c r="D451" s="46" t="s">
        <v>861</v>
      </c>
      <c r="E451" s="58">
        <v>30000</v>
      </c>
      <c r="F451" s="46" t="s">
        <v>239</v>
      </c>
      <c r="G451" s="56" t="s">
        <v>11</v>
      </c>
      <c r="H451" s="56" t="s">
        <v>9</v>
      </c>
      <c r="I451" s="56" t="s">
        <v>29</v>
      </c>
      <c r="J451" s="56">
        <v>44322</v>
      </c>
      <c r="K451" s="59" t="s">
        <v>298</v>
      </c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</row>
    <row r="452" spans="1:47" ht="15.75" customHeight="1">
      <c r="A452" s="60">
        <v>44397</v>
      </c>
      <c r="B452" s="61" t="s">
        <v>883</v>
      </c>
      <c r="C452" s="62" t="s">
        <v>150</v>
      </c>
      <c r="D452" s="46" t="s">
        <v>861</v>
      </c>
      <c r="E452" s="58">
        <v>300000</v>
      </c>
      <c r="F452" s="46" t="s">
        <v>113</v>
      </c>
      <c r="G452" s="56" t="s">
        <v>107</v>
      </c>
      <c r="H452" s="56" t="s">
        <v>12</v>
      </c>
      <c r="I452" s="56" t="s">
        <v>108</v>
      </c>
      <c r="J452" s="56">
        <v>43894</v>
      </c>
      <c r="K452" s="59" t="s">
        <v>302</v>
      </c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</row>
    <row r="453" spans="1:47" ht="15.75" customHeight="1">
      <c r="A453" s="60">
        <v>44397</v>
      </c>
      <c r="B453" s="61" t="s">
        <v>929</v>
      </c>
      <c r="C453" s="62" t="s">
        <v>150</v>
      </c>
      <c r="D453" s="46" t="s">
        <v>861</v>
      </c>
      <c r="E453" s="58">
        <v>10000</v>
      </c>
      <c r="F453" s="46" t="s">
        <v>103</v>
      </c>
      <c r="G453" s="56" t="s">
        <v>11</v>
      </c>
      <c r="H453" s="56" t="s">
        <v>9</v>
      </c>
      <c r="I453" s="56" t="s">
        <v>10</v>
      </c>
      <c r="J453" s="56">
        <v>44295</v>
      </c>
      <c r="K453" s="59" t="s">
        <v>301</v>
      </c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</row>
    <row r="454" spans="1:47" ht="15.75" customHeight="1">
      <c r="A454" s="60">
        <v>44398</v>
      </c>
      <c r="B454" s="61" t="s">
        <v>993</v>
      </c>
      <c r="C454" s="62" t="s">
        <v>150</v>
      </c>
      <c r="D454" s="46" t="s">
        <v>861</v>
      </c>
      <c r="E454" s="58">
        <v>468601.48</v>
      </c>
      <c r="F454" s="46" t="s">
        <v>239</v>
      </c>
      <c r="G454" s="56" t="s">
        <v>11</v>
      </c>
      <c r="H454" s="56" t="s">
        <v>9</v>
      </c>
      <c r="I454" s="56" t="s">
        <v>29</v>
      </c>
      <c r="J454" s="56">
        <v>44322</v>
      </c>
      <c r="K454" s="59" t="s">
        <v>298</v>
      </c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</row>
    <row r="455" spans="1:47" ht="15.75" customHeight="1">
      <c r="A455" s="60">
        <v>44398</v>
      </c>
      <c r="B455" s="61" t="s">
        <v>997</v>
      </c>
      <c r="C455" s="62" t="s">
        <v>150</v>
      </c>
      <c r="D455" s="46" t="s">
        <v>861</v>
      </c>
      <c r="E455" s="65">
        <v>2200</v>
      </c>
      <c r="F455" s="46" t="s">
        <v>73</v>
      </c>
      <c r="G455" s="56" t="s">
        <v>11</v>
      </c>
      <c r="H455" s="56" t="s">
        <v>9</v>
      </c>
      <c r="I455" s="56" t="s">
        <v>10</v>
      </c>
      <c r="J455" s="56">
        <v>44322</v>
      </c>
      <c r="K455" s="59" t="s">
        <v>298</v>
      </c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</row>
    <row r="456" spans="1:47" ht="15.75" customHeight="1">
      <c r="A456" s="60">
        <v>44399</v>
      </c>
      <c r="B456" s="61" t="s">
        <v>993</v>
      </c>
      <c r="C456" s="62" t="s">
        <v>150</v>
      </c>
      <c r="D456" s="46" t="s">
        <v>861</v>
      </c>
      <c r="E456" s="58">
        <v>20000</v>
      </c>
      <c r="F456" s="46" t="s">
        <v>239</v>
      </c>
      <c r="G456" s="56" t="s">
        <v>11</v>
      </c>
      <c r="H456" s="56" t="s">
        <v>9</v>
      </c>
      <c r="I456" s="56" t="s">
        <v>29</v>
      </c>
      <c r="J456" s="56">
        <v>44322</v>
      </c>
      <c r="K456" s="59" t="s">
        <v>298</v>
      </c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</row>
    <row r="457" spans="1:47" ht="15.75" customHeight="1">
      <c r="A457" s="60">
        <v>44400</v>
      </c>
      <c r="B457" s="61" t="s">
        <v>1001</v>
      </c>
      <c r="C457" s="62" t="s">
        <v>150</v>
      </c>
      <c r="D457" s="46" t="s">
        <v>861</v>
      </c>
      <c r="E457" s="58">
        <v>15000</v>
      </c>
      <c r="F457" s="46" t="s">
        <v>209</v>
      </c>
      <c r="G457" s="56" t="s">
        <v>107</v>
      </c>
      <c r="H457" s="56" t="s">
        <v>12</v>
      </c>
      <c r="I457" s="56" t="s">
        <v>153</v>
      </c>
      <c r="J457" s="56">
        <v>43752</v>
      </c>
      <c r="K457" s="59" t="s">
        <v>298</v>
      </c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</row>
    <row r="458" spans="1:47" ht="15.75" customHeight="1">
      <c r="A458" s="60">
        <v>44403</v>
      </c>
      <c r="B458" s="61" t="s">
        <v>1024</v>
      </c>
      <c r="C458" s="62" t="s">
        <v>150</v>
      </c>
      <c r="D458" s="46" t="s">
        <v>861</v>
      </c>
      <c r="E458" s="58">
        <v>30000</v>
      </c>
      <c r="F458" s="46" t="s">
        <v>154</v>
      </c>
      <c r="G458" s="56" t="s">
        <v>11</v>
      </c>
      <c r="H458" s="56" t="s">
        <v>9</v>
      </c>
      <c r="I458" s="56" t="s">
        <v>29</v>
      </c>
      <c r="J458" s="56">
        <v>44321</v>
      </c>
      <c r="K458" s="59" t="s">
        <v>302</v>
      </c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</row>
    <row r="459" spans="1:47" ht="15.75" customHeight="1">
      <c r="A459" s="60">
        <v>44403</v>
      </c>
      <c r="B459" s="61" t="s">
        <v>930</v>
      </c>
      <c r="C459" s="62" t="s">
        <v>150</v>
      </c>
      <c r="D459" s="46" t="s">
        <v>861</v>
      </c>
      <c r="E459" s="58">
        <v>40000</v>
      </c>
      <c r="F459" s="46" t="s">
        <v>201</v>
      </c>
      <c r="G459" s="56" t="s">
        <v>11</v>
      </c>
      <c r="H459" s="56" t="s">
        <v>9</v>
      </c>
      <c r="I459" s="56" t="s">
        <v>10</v>
      </c>
      <c r="J459" s="56">
        <v>44272</v>
      </c>
      <c r="K459" s="59" t="s">
        <v>931</v>
      </c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</row>
    <row r="460" spans="1:47" ht="15.75" customHeight="1">
      <c r="A460" s="60">
        <v>44404</v>
      </c>
      <c r="B460" s="61" t="s">
        <v>1031</v>
      </c>
      <c r="C460" s="46" t="s">
        <v>14</v>
      </c>
      <c r="D460" s="46" t="s">
        <v>237</v>
      </c>
      <c r="E460" s="58">
        <v>0</v>
      </c>
      <c r="F460" s="46" t="s">
        <v>424</v>
      </c>
      <c r="G460" s="46" t="s">
        <v>11</v>
      </c>
      <c r="H460" s="46" t="s">
        <v>17</v>
      </c>
      <c r="I460" s="46" t="s">
        <v>35</v>
      </c>
      <c r="J460" s="56"/>
      <c r="K460" s="63" t="s">
        <v>298</v>
      </c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</row>
    <row r="461" spans="1:47" ht="15.75" customHeight="1">
      <c r="A461" s="60">
        <v>44405</v>
      </c>
      <c r="B461" s="61" t="s">
        <v>995</v>
      </c>
      <c r="C461" s="62" t="s">
        <v>150</v>
      </c>
      <c r="D461" s="46" t="s">
        <v>861</v>
      </c>
      <c r="E461" s="58">
        <v>100000</v>
      </c>
      <c r="F461" s="46" t="s">
        <v>114</v>
      </c>
      <c r="G461" s="56" t="s">
        <v>11</v>
      </c>
      <c r="H461" s="56" t="s">
        <v>9</v>
      </c>
      <c r="I461" s="56" t="s">
        <v>29</v>
      </c>
      <c r="J461" s="56">
        <v>44319</v>
      </c>
      <c r="K461" s="59" t="s">
        <v>298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</row>
    <row r="462" spans="1:47" ht="15.75" customHeight="1">
      <c r="A462" s="60">
        <v>44406</v>
      </c>
      <c r="B462" s="61" t="s">
        <v>1032</v>
      </c>
      <c r="C462" s="62" t="s">
        <v>150</v>
      </c>
      <c r="D462" s="46" t="s">
        <v>54</v>
      </c>
      <c r="E462" s="58">
        <v>15000</v>
      </c>
      <c r="F462" s="46" t="s">
        <v>204</v>
      </c>
      <c r="G462" s="56" t="s">
        <v>107</v>
      </c>
      <c r="H462" s="56" t="s">
        <v>12</v>
      </c>
      <c r="I462" s="56" t="s">
        <v>108</v>
      </c>
      <c r="J462" s="56">
        <v>43859</v>
      </c>
      <c r="K462" s="59" t="s">
        <v>302</v>
      </c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</row>
    <row r="463" spans="1:47" ht="15.75" customHeight="1">
      <c r="A463" s="60">
        <v>44407</v>
      </c>
      <c r="B463" s="61" t="s">
        <v>1033</v>
      </c>
      <c r="C463" s="62" t="s">
        <v>14</v>
      </c>
      <c r="D463" s="46" t="s">
        <v>861</v>
      </c>
      <c r="E463" s="58">
        <v>3440319.83</v>
      </c>
      <c r="F463" s="46" t="s">
        <v>409</v>
      </c>
      <c r="G463" s="46" t="s">
        <v>11</v>
      </c>
      <c r="H463" s="46" t="s">
        <v>12</v>
      </c>
      <c r="I463" s="46" t="s">
        <v>138</v>
      </c>
      <c r="J463" s="56"/>
      <c r="K463" s="63" t="s">
        <v>304</v>
      </c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</row>
    <row r="464" spans="1:47" ht="15.75" customHeight="1">
      <c r="A464" s="60">
        <v>44407</v>
      </c>
      <c r="B464" s="61" t="s">
        <v>993</v>
      </c>
      <c r="C464" s="62" t="s">
        <v>150</v>
      </c>
      <c r="D464" s="46" t="s">
        <v>861</v>
      </c>
      <c r="E464" s="58">
        <v>10000</v>
      </c>
      <c r="F464" s="46" t="s">
        <v>239</v>
      </c>
      <c r="G464" s="56" t="s">
        <v>11</v>
      </c>
      <c r="H464" s="56" t="s">
        <v>9</v>
      </c>
      <c r="I464" s="56" t="s">
        <v>29</v>
      </c>
      <c r="J464" s="56">
        <v>44322</v>
      </c>
      <c r="K464" s="59" t="s">
        <v>298</v>
      </c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</row>
    <row r="465" spans="1:47" ht="15.75" customHeight="1">
      <c r="A465" s="60">
        <v>44407</v>
      </c>
      <c r="B465" s="61" t="s">
        <v>962</v>
      </c>
      <c r="C465" s="62" t="s">
        <v>14</v>
      </c>
      <c r="D465" s="46" t="s">
        <v>861</v>
      </c>
      <c r="E465" s="58">
        <v>155000</v>
      </c>
      <c r="F465" s="46" t="s">
        <v>520</v>
      </c>
      <c r="G465" s="37" t="s">
        <v>24</v>
      </c>
      <c r="H465" s="46" t="s">
        <v>12</v>
      </c>
      <c r="I465" s="37" t="s">
        <v>434</v>
      </c>
      <c r="J465" s="77">
        <v>44180</v>
      </c>
      <c r="K465" s="63" t="s">
        <v>298</v>
      </c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</row>
    <row r="466" spans="1:47" ht="15.75" customHeight="1">
      <c r="A466" s="81">
        <v>44407</v>
      </c>
      <c r="B466" s="69" t="s">
        <v>1034</v>
      </c>
      <c r="C466" s="12" t="s">
        <v>14</v>
      </c>
      <c r="D466" s="82" t="s">
        <v>861</v>
      </c>
      <c r="E466" s="83">
        <v>5000</v>
      </c>
      <c r="F466" s="82" t="s">
        <v>47</v>
      </c>
      <c r="G466" s="82" t="s">
        <v>11</v>
      </c>
      <c r="H466" s="82" t="s">
        <v>17</v>
      </c>
      <c r="I466" s="82" t="s">
        <v>35</v>
      </c>
      <c r="J466" s="81">
        <v>44407</v>
      </c>
      <c r="K466" s="84" t="s">
        <v>295</v>
      </c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</row>
    <row r="467" spans="1:47" ht="15.75" customHeight="1">
      <c r="A467" s="56">
        <v>44408</v>
      </c>
      <c r="B467" s="57" t="s">
        <v>1006</v>
      </c>
      <c r="C467" s="46" t="s">
        <v>14</v>
      </c>
      <c r="D467" s="46" t="s">
        <v>237</v>
      </c>
      <c r="E467" s="58">
        <v>0</v>
      </c>
      <c r="F467" s="46" t="s">
        <v>500</v>
      </c>
      <c r="G467" s="46" t="s">
        <v>24</v>
      </c>
      <c r="H467" s="46" t="s">
        <v>12</v>
      </c>
      <c r="I467" s="46" t="s">
        <v>128</v>
      </c>
      <c r="J467" s="56">
        <v>44090</v>
      </c>
      <c r="K467" s="63" t="s">
        <v>302</v>
      </c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</row>
    <row r="468" spans="1:47" ht="15.75" customHeight="1">
      <c r="A468" s="60">
        <v>44410</v>
      </c>
      <c r="B468" s="61" t="s">
        <v>992</v>
      </c>
      <c r="C468" s="62" t="s">
        <v>150</v>
      </c>
      <c r="D468" s="46" t="s">
        <v>861</v>
      </c>
      <c r="E468" s="58">
        <v>150000</v>
      </c>
      <c r="F468" s="46" t="s">
        <v>164</v>
      </c>
      <c r="G468" s="56" t="s">
        <v>11</v>
      </c>
      <c r="H468" s="56" t="s">
        <v>9</v>
      </c>
      <c r="I468" s="56" t="s">
        <v>29</v>
      </c>
      <c r="J468" s="56">
        <v>44295</v>
      </c>
      <c r="K468" s="59" t="s">
        <v>295</v>
      </c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</row>
    <row r="469" spans="1:47" ht="15.75" customHeight="1">
      <c r="A469" s="60">
        <v>44410</v>
      </c>
      <c r="B469" s="61" t="s">
        <v>928</v>
      </c>
      <c r="C469" s="62" t="s">
        <v>150</v>
      </c>
      <c r="D469" s="46" t="s">
        <v>861</v>
      </c>
      <c r="E469" s="58">
        <v>13000</v>
      </c>
      <c r="F469" s="46" t="s">
        <v>53</v>
      </c>
      <c r="G469" s="56" t="s">
        <v>11</v>
      </c>
      <c r="H469" s="56" t="s">
        <v>9</v>
      </c>
      <c r="I469" s="56" t="s">
        <v>10</v>
      </c>
      <c r="J469" s="56">
        <v>44321</v>
      </c>
      <c r="K469" s="59" t="s">
        <v>298</v>
      </c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</row>
    <row r="470" spans="1:47" ht="15.75" customHeight="1">
      <c r="A470" s="60">
        <v>44410</v>
      </c>
      <c r="B470" s="61" t="s">
        <v>1035</v>
      </c>
      <c r="C470" s="62" t="s">
        <v>14</v>
      </c>
      <c r="D470" s="46" t="s">
        <v>861</v>
      </c>
      <c r="E470" s="58">
        <v>199844.32</v>
      </c>
      <c r="F470" s="46" t="s">
        <v>418</v>
      </c>
      <c r="G470" s="46" t="s">
        <v>24</v>
      </c>
      <c r="H470" s="46" t="s">
        <v>12</v>
      </c>
      <c r="I470" s="46" t="s">
        <v>128</v>
      </c>
      <c r="J470" s="56">
        <v>44228</v>
      </c>
      <c r="K470" s="63" t="s">
        <v>295</v>
      </c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</row>
    <row r="471" spans="1:47" ht="15.75" customHeight="1">
      <c r="A471" s="60">
        <v>44410</v>
      </c>
      <c r="B471" s="61" t="s">
        <v>993</v>
      </c>
      <c r="C471" s="62" t="s">
        <v>150</v>
      </c>
      <c r="D471" s="46" t="s">
        <v>861</v>
      </c>
      <c r="E471" s="58">
        <v>10000</v>
      </c>
      <c r="F471" s="46" t="s">
        <v>239</v>
      </c>
      <c r="G471" s="56" t="s">
        <v>11</v>
      </c>
      <c r="H471" s="56" t="s">
        <v>9</v>
      </c>
      <c r="I471" s="56" t="s">
        <v>29</v>
      </c>
      <c r="J471" s="56">
        <v>44322</v>
      </c>
      <c r="K471" s="59" t="s">
        <v>298</v>
      </c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</row>
    <row r="472" spans="1:47" ht="15.75" customHeight="1">
      <c r="A472" s="60">
        <v>44411</v>
      </c>
      <c r="B472" s="61" t="s">
        <v>930</v>
      </c>
      <c r="C472" s="62" t="s">
        <v>150</v>
      </c>
      <c r="D472" s="46" t="s">
        <v>54</v>
      </c>
      <c r="E472" s="58">
        <v>30000</v>
      </c>
      <c r="F472" s="46" t="s">
        <v>201</v>
      </c>
      <c r="G472" s="56" t="s">
        <v>11</v>
      </c>
      <c r="H472" s="56" t="s">
        <v>9</v>
      </c>
      <c r="I472" s="56" t="s">
        <v>10</v>
      </c>
      <c r="J472" s="56">
        <v>44272</v>
      </c>
      <c r="K472" s="59" t="s">
        <v>931</v>
      </c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</row>
    <row r="473" spans="1:47" ht="15.75" customHeight="1">
      <c r="A473" s="56">
        <v>44412</v>
      </c>
      <c r="B473" s="57" t="s">
        <v>1036</v>
      </c>
      <c r="C473" s="46" t="s">
        <v>14</v>
      </c>
      <c r="D473" s="46" t="s">
        <v>237</v>
      </c>
      <c r="E473" s="58">
        <v>0</v>
      </c>
      <c r="F473" s="46" t="s">
        <v>350</v>
      </c>
      <c r="G473" s="46" t="s">
        <v>11</v>
      </c>
      <c r="H473" s="46" t="s">
        <v>12</v>
      </c>
      <c r="I473" s="46" t="s">
        <v>297</v>
      </c>
      <c r="J473" s="56">
        <v>44141</v>
      </c>
      <c r="K473" s="63" t="s">
        <v>298</v>
      </c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</row>
    <row r="474" spans="1:47" ht="15.75" customHeight="1">
      <c r="A474" s="60">
        <v>44412</v>
      </c>
      <c r="B474" s="61" t="s">
        <v>867</v>
      </c>
      <c r="C474" s="62" t="s">
        <v>150</v>
      </c>
      <c r="D474" s="46" t="s">
        <v>861</v>
      </c>
      <c r="E474" s="58">
        <v>6000</v>
      </c>
      <c r="F474" s="46" t="s">
        <v>206</v>
      </c>
      <c r="G474" s="56" t="s">
        <v>107</v>
      </c>
      <c r="H474" s="56" t="s">
        <v>12</v>
      </c>
      <c r="I474" s="56" t="s">
        <v>108</v>
      </c>
      <c r="J474" s="56">
        <v>43703</v>
      </c>
      <c r="K474" s="59" t="s">
        <v>382</v>
      </c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</row>
    <row r="475" spans="1:47" ht="15.75" customHeight="1">
      <c r="A475" s="60">
        <v>44412</v>
      </c>
      <c r="B475" s="61" t="s">
        <v>1037</v>
      </c>
      <c r="C475" s="62" t="s">
        <v>14</v>
      </c>
      <c r="D475" s="46" t="s">
        <v>861</v>
      </c>
      <c r="E475" s="58">
        <v>20000</v>
      </c>
      <c r="F475" s="46" t="s">
        <v>349</v>
      </c>
      <c r="G475" s="46" t="s">
        <v>107</v>
      </c>
      <c r="H475" s="46" t="s">
        <v>12</v>
      </c>
      <c r="I475" s="46" t="s">
        <v>107</v>
      </c>
      <c r="J475" s="56">
        <v>44235</v>
      </c>
      <c r="K475" s="63" t="s">
        <v>298</v>
      </c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</row>
    <row r="476" spans="1:47" ht="15.75" customHeight="1">
      <c r="A476" s="60">
        <v>44412</v>
      </c>
      <c r="B476" s="61" t="s">
        <v>868</v>
      </c>
      <c r="C476" s="62" t="s">
        <v>150</v>
      </c>
      <c r="D476" s="46" t="s">
        <v>861</v>
      </c>
      <c r="E476" s="58">
        <v>16000</v>
      </c>
      <c r="F476" s="46" t="s">
        <v>292</v>
      </c>
      <c r="G476" s="56" t="s">
        <v>107</v>
      </c>
      <c r="H476" s="56" t="s">
        <v>12</v>
      </c>
      <c r="I476" s="56" t="s">
        <v>108</v>
      </c>
      <c r="J476" s="56">
        <v>43567</v>
      </c>
      <c r="K476" s="59" t="s">
        <v>298</v>
      </c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</row>
    <row r="477" spans="1:47" ht="15.75" customHeight="1">
      <c r="A477" s="56">
        <v>44413</v>
      </c>
      <c r="B477" s="57" t="s">
        <v>1038</v>
      </c>
      <c r="C477" s="46" t="s">
        <v>14</v>
      </c>
      <c r="D477" s="46" t="s">
        <v>237</v>
      </c>
      <c r="E477" s="58">
        <v>0</v>
      </c>
      <c r="F477" s="46" t="s">
        <v>335</v>
      </c>
      <c r="G477" s="46" t="s">
        <v>24</v>
      </c>
      <c r="H477" s="46" t="s">
        <v>12</v>
      </c>
      <c r="I477" s="46" t="s">
        <v>336</v>
      </c>
      <c r="J477" s="56">
        <v>44120</v>
      </c>
      <c r="K477" s="63" t="s">
        <v>298</v>
      </c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</row>
    <row r="478" spans="1:47" ht="15.75" customHeight="1">
      <c r="A478" s="60">
        <v>44413</v>
      </c>
      <c r="B478" s="61" t="s">
        <v>1039</v>
      </c>
      <c r="C478" s="62" t="s">
        <v>150</v>
      </c>
      <c r="D478" s="46" t="s">
        <v>861</v>
      </c>
      <c r="E478" s="58">
        <v>500</v>
      </c>
      <c r="F478" s="46" t="s">
        <v>49</v>
      </c>
      <c r="G478" s="56" t="s">
        <v>11</v>
      </c>
      <c r="H478" s="56" t="s">
        <v>9</v>
      </c>
      <c r="I478" s="56" t="s">
        <v>10</v>
      </c>
      <c r="J478" s="56">
        <v>44280</v>
      </c>
      <c r="K478" s="59" t="s">
        <v>298</v>
      </c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</row>
    <row r="479" spans="1:47" ht="15.75" customHeight="1">
      <c r="A479" s="60">
        <v>44413</v>
      </c>
      <c r="B479" s="61" t="s">
        <v>1038</v>
      </c>
      <c r="C479" s="62" t="s">
        <v>14</v>
      </c>
      <c r="D479" s="46" t="s">
        <v>54</v>
      </c>
      <c r="E479" s="58">
        <v>200000</v>
      </c>
      <c r="F479" s="46" t="s">
        <v>335</v>
      </c>
      <c r="G479" s="46" t="s">
        <v>24</v>
      </c>
      <c r="H479" s="46" t="s">
        <v>12</v>
      </c>
      <c r="I479" s="46" t="s">
        <v>336</v>
      </c>
      <c r="J479" s="56">
        <v>44120</v>
      </c>
      <c r="K479" s="63" t="s">
        <v>298</v>
      </c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</row>
    <row r="480" spans="1:47" ht="15.75" customHeight="1">
      <c r="A480" s="60">
        <v>44413</v>
      </c>
      <c r="B480" s="61" t="s">
        <v>1040</v>
      </c>
      <c r="C480" s="62" t="s">
        <v>150</v>
      </c>
      <c r="D480" s="46" t="s">
        <v>861</v>
      </c>
      <c r="E480" s="58">
        <v>12000</v>
      </c>
      <c r="F480" s="46" t="s">
        <v>55</v>
      </c>
      <c r="G480" s="56" t="s">
        <v>11</v>
      </c>
      <c r="H480" s="56" t="s">
        <v>9</v>
      </c>
      <c r="I480" s="56" t="s">
        <v>29</v>
      </c>
      <c r="J480" s="56">
        <v>44328</v>
      </c>
      <c r="K480" s="59" t="s">
        <v>295</v>
      </c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</row>
    <row r="481" spans="1:47" ht="15.75" customHeight="1">
      <c r="A481" s="60">
        <v>44414</v>
      </c>
      <c r="B481" s="61" t="s">
        <v>1041</v>
      </c>
      <c r="C481" s="62" t="s">
        <v>14</v>
      </c>
      <c r="D481" s="46" t="s">
        <v>861</v>
      </c>
      <c r="E481" s="58">
        <v>30000</v>
      </c>
      <c r="F481" s="46" t="s">
        <v>464</v>
      </c>
      <c r="G481" s="46" t="s">
        <v>24</v>
      </c>
      <c r="H481" s="46" t="s">
        <v>12</v>
      </c>
      <c r="I481" s="85" t="s">
        <v>465</v>
      </c>
      <c r="J481" s="56">
        <v>44130</v>
      </c>
      <c r="K481" s="63" t="s">
        <v>298</v>
      </c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</row>
    <row r="482" spans="1:47" ht="15.75" customHeight="1">
      <c r="A482" s="60">
        <v>44417</v>
      </c>
      <c r="B482" s="61" t="s">
        <v>867</v>
      </c>
      <c r="C482" s="62" t="s">
        <v>150</v>
      </c>
      <c r="D482" s="46" t="s">
        <v>861</v>
      </c>
      <c r="E482" s="58">
        <v>2000</v>
      </c>
      <c r="F482" s="46" t="s">
        <v>206</v>
      </c>
      <c r="G482" s="56" t="s">
        <v>107</v>
      </c>
      <c r="H482" s="56" t="s">
        <v>12</v>
      </c>
      <c r="I482" s="56" t="s">
        <v>108</v>
      </c>
      <c r="J482" s="56">
        <v>43703</v>
      </c>
      <c r="K482" s="59" t="s">
        <v>382</v>
      </c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</row>
    <row r="483" spans="1:47" ht="15.75" customHeight="1">
      <c r="A483" s="60">
        <v>44417</v>
      </c>
      <c r="B483" s="61" t="s">
        <v>929</v>
      </c>
      <c r="C483" s="62" t="s">
        <v>150</v>
      </c>
      <c r="D483" s="46" t="s">
        <v>861</v>
      </c>
      <c r="E483" s="58">
        <v>15000</v>
      </c>
      <c r="F483" s="46" t="s">
        <v>103</v>
      </c>
      <c r="G483" s="56" t="s">
        <v>11</v>
      </c>
      <c r="H483" s="56" t="s">
        <v>9</v>
      </c>
      <c r="I483" s="56" t="s">
        <v>10</v>
      </c>
      <c r="J483" s="56">
        <v>44295</v>
      </c>
      <c r="K483" s="59" t="s">
        <v>301</v>
      </c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</row>
    <row r="484" spans="1:47" ht="15.75" customHeight="1">
      <c r="A484" s="60">
        <v>44417</v>
      </c>
      <c r="B484" s="61" t="s">
        <v>994</v>
      </c>
      <c r="C484" s="62" t="s">
        <v>150</v>
      </c>
      <c r="D484" s="46" t="s">
        <v>861</v>
      </c>
      <c r="E484" s="58">
        <v>2000</v>
      </c>
      <c r="F484" s="46" t="s">
        <v>218</v>
      </c>
      <c r="G484" s="56" t="s">
        <v>11</v>
      </c>
      <c r="H484" s="56" t="s">
        <v>9</v>
      </c>
      <c r="I484" s="56" t="s">
        <v>98</v>
      </c>
      <c r="J484" s="56">
        <v>44266</v>
      </c>
      <c r="K484" s="59" t="s">
        <v>302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</row>
    <row r="485" spans="1:47" ht="15.75" customHeight="1">
      <c r="A485" s="60">
        <v>44417</v>
      </c>
      <c r="B485" s="61" t="s">
        <v>1042</v>
      </c>
      <c r="C485" s="62" t="s">
        <v>150</v>
      </c>
      <c r="D485" s="46" t="s">
        <v>861</v>
      </c>
      <c r="E485" s="58">
        <v>1000000</v>
      </c>
      <c r="F485" s="46" t="s">
        <v>39</v>
      </c>
      <c r="G485" s="56" t="s">
        <v>11</v>
      </c>
      <c r="H485" s="56" t="s">
        <v>9</v>
      </c>
      <c r="I485" s="56" t="s">
        <v>10</v>
      </c>
      <c r="J485" s="56">
        <v>44263</v>
      </c>
      <c r="K485" s="59" t="s">
        <v>298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</row>
    <row r="486" spans="1:47" ht="15.75" customHeight="1">
      <c r="A486" s="56">
        <v>44418</v>
      </c>
      <c r="B486" s="61" t="s">
        <v>1043</v>
      </c>
      <c r="C486" s="46" t="s">
        <v>14</v>
      </c>
      <c r="D486" s="46" t="s">
        <v>237</v>
      </c>
      <c r="E486" s="58">
        <v>0</v>
      </c>
      <c r="F486" s="46" t="s">
        <v>477</v>
      </c>
      <c r="G486" s="46" t="s">
        <v>24</v>
      </c>
      <c r="H486" s="46" t="s">
        <v>12</v>
      </c>
      <c r="I486" s="46" t="s">
        <v>357</v>
      </c>
      <c r="J486" s="56">
        <v>44775</v>
      </c>
      <c r="K486" s="63" t="s">
        <v>304</v>
      </c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</row>
    <row r="487" spans="1:47" ht="15.75" customHeight="1">
      <c r="A487" s="56">
        <v>44418</v>
      </c>
      <c r="B487" s="57" t="s">
        <v>1032</v>
      </c>
      <c r="C487" s="46" t="s">
        <v>150</v>
      </c>
      <c r="D487" s="46" t="s">
        <v>237</v>
      </c>
      <c r="E487" s="58">
        <v>467689.84</v>
      </c>
      <c r="F487" s="46" t="s">
        <v>204</v>
      </c>
      <c r="G487" s="56" t="s">
        <v>107</v>
      </c>
      <c r="H487" s="56" t="s">
        <v>12</v>
      </c>
      <c r="I487" s="56" t="s">
        <v>108</v>
      </c>
      <c r="J487" s="56">
        <v>43859</v>
      </c>
      <c r="K487" s="59" t="s">
        <v>302</v>
      </c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</row>
    <row r="488" spans="1:47" ht="15.75" customHeight="1">
      <c r="A488" s="56">
        <v>44418</v>
      </c>
      <c r="B488" s="57" t="s">
        <v>978</v>
      </c>
      <c r="C488" s="46" t="s">
        <v>14</v>
      </c>
      <c r="D488" s="46" t="s">
        <v>237</v>
      </c>
      <c r="E488" s="58">
        <v>0</v>
      </c>
      <c r="F488" s="46" t="s">
        <v>346</v>
      </c>
      <c r="G488" s="46" t="s">
        <v>24</v>
      </c>
      <c r="H488" s="46" t="s">
        <v>12</v>
      </c>
      <c r="I488" s="46" t="s">
        <v>128</v>
      </c>
      <c r="J488" s="56">
        <v>44228</v>
      </c>
      <c r="K488" s="63" t="s">
        <v>295</v>
      </c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</row>
    <row r="489" spans="1:47" ht="15.75" customHeight="1">
      <c r="A489" s="60">
        <v>44418</v>
      </c>
      <c r="B489" s="61" t="s">
        <v>1044</v>
      </c>
      <c r="C489" s="62" t="s">
        <v>14</v>
      </c>
      <c r="D489" s="46" t="s">
        <v>861</v>
      </c>
      <c r="E489" s="58">
        <v>387869.72</v>
      </c>
      <c r="F489" s="46" t="s">
        <v>1045</v>
      </c>
      <c r="G489" s="46" t="s">
        <v>107</v>
      </c>
      <c r="H489" s="46" t="s">
        <v>12</v>
      </c>
      <c r="I489" s="46" t="s">
        <v>107</v>
      </c>
      <c r="J489" s="56">
        <v>44195</v>
      </c>
      <c r="K489" s="63" t="s">
        <v>302</v>
      </c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</row>
    <row r="490" spans="1:47" ht="15.75" customHeight="1">
      <c r="A490" s="60">
        <v>44420</v>
      </c>
      <c r="B490" s="61" t="s">
        <v>962</v>
      </c>
      <c r="C490" s="62" t="s">
        <v>14</v>
      </c>
      <c r="D490" s="46" t="s">
        <v>861</v>
      </c>
      <c r="E490" s="58">
        <v>169129.47</v>
      </c>
      <c r="F490" s="46" t="s">
        <v>520</v>
      </c>
      <c r="G490" s="46" t="s">
        <v>24</v>
      </c>
      <c r="H490" s="46" t="s">
        <v>12</v>
      </c>
      <c r="I490" s="46" t="s">
        <v>434</v>
      </c>
      <c r="J490" s="56">
        <v>44180</v>
      </c>
      <c r="K490" s="63" t="s">
        <v>298</v>
      </c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</row>
    <row r="491" spans="1:47" ht="15.75" customHeight="1">
      <c r="A491" s="60">
        <v>44421</v>
      </c>
      <c r="B491" s="61" t="s">
        <v>1046</v>
      </c>
      <c r="C491" s="62" t="s">
        <v>14</v>
      </c>
      <c r="D491" s="46" t="s">
        <v>861</v>
      </c>
      <c r="E491" s="58">
        <v>300000</v>
      </c>
      <c r="F491" s="46" t="s">
        <v>564</v>
      </c>
      <c r="G491" s="46" t="s">
        <v>24</v>
      </c>
      <c r="H491" s="46" t="s">
        <v>12</v>
      </c>
      <c r="I491" s="46" t="s">
        <v>429</v>
      </c>
      <c r="J491" s="56">
        <v>44397</v>
      </c>
      <c r="K491" s="63" t="s">
        <v>302</v>
      </c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</row>
    <row r="492" spans="1:47" ht="15.75" customHeight="1">
      <c r="A492" s="60">
        <v>44421</v>
      </c>
      <c r="B492" s="61" t="s">
        <v>869</v>
      </c>
      <c r="C492" s="62" t="s">
        <v>150</v>
      </c>
      <c r="D492" s="46" t="s">
        <v>861</v>
      </c>
      <c r="E492" s="58">
        <v>15000</v>
      </c>
      <c r="F492" s="46" t="s">
        <v>101</v>
      </c>
      <c r="G492" s="56" t="s">
        <v>107</v>
      </c>
      <c r="H492" s="56" t="s">
        <v>12</v>
      </c>
      <c r="I492" s="56" t="s">
        <v>108</v>
      </c>
      <c r="J492" s="56">
        <v>43605</v>
      </c>
      <c r="K492" s="59" t="s">
        <v>302</v>
      </c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</row>
    <row r="493" spans="1:47" ht="15.75" customHeight="1">
      <c r="A493" s="60">
        <v>44421</v>
      </c>
      <c r="B493" s="61" t="s">
        <v>993</v>
      </c>
      <c r="C493" s="62" t="s">
        <v>150</v>
      </c>
      <c r="D493" s="46" t="s">
        <v>861</v>
      </c>
      <c r="E493" s="58">
        <v>36000</v>
      </c>
      <c r="F493" s="46" t="s">
        <v>239</v>
      </c>
      <c r="G493" s="56" t="s">
        <v>11</v>
      </c>
      <c r="H493" s="56" t="s">
        <v>9</v>
      </c>
      <c r="I493" s="56" t="s">
        <v>29</v>
      </c>
      <c r="J493" s="56">
        <v>44322</v>
      </c>
      <c r="K493" s="59" t="s">
        <v>298</v>
      </c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</row>
    <row r="494" spans="1:47" ht="15.75" customHeight="1">
      <c r="A494" s="56">
        <v>44424</v>
      </c>
      <c r="B494" s="57" t="s">
        <v>1047</v>
      </c>
      <c r="C494" s="46" t="s">
        <v>14</v>
      </c>
      <c r="D494" s="46" t="s">
        <v>237</v>
      </c>
      <c r="E494" s="58">
        <v>0</v>
      </c>
      <c r="F494" s="46" t="s">
        <v>527</v>
      </c>
      <c r="G494" s="46" t="s">
        <v>24</v>
      </c>
      <c r="H494" s="46" t="s">
        <v>12</v>
      </c>
      <c r="I494" s="46" t="s">
        <v>336</v>
      </c>
      <c r="J494" s="56">
        <v>44078</v>
      </c>
      <c r="K494" s="63" t="s">
        <v>295</v>
      </c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</row>
    <row r="495" spans="1:47" ht="15.75" customHeight="1">
      <c r="A495" s="60">
        <v>44424</v>
      </c>
      <c r="B495" s="61" t="s">
        <v>883</v>
      </c>
      <c r="C495" s="62" t="s">
        <v>150</v>
      </c>
      <c r="D495" s="46" t="s">
        <v>861</v>
      </c>
      <c r="E495" s="58">
        <v>29127.62</v>
      </c>
      <c r="F495" s="46" t="s">
        <v>113</v>
      </c>
      <c r="G495" s="56" t="s">
        <v>107</v>
      </c>
      <c r="H495" s="56" t="s">
        <v>12</v>
      </c>
      <c r="I495" s="56" t="s">
        <v>108</v>
      </c>
      <c r="J495" s="56">
        <v>43894</v>
      </c>
      <c r="K495" s="59" t="s">
        <v>302</v>
      </c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</row>
    <row r="496" spans="1:47" ht="15.75" customHeight="1">
      <c r="A496" s="60">
        <v>44424</v>
      </c>
      <c r="B496" s="61" t="s">
        <v>1048</v>
      </c>
      <c r="C496" s="62" t="s">
        <v>150</v>
      </c>
      <c r="D496" s="46" t="s">
        <v>861</v>
      </c>
      <c r="E496" s="58">
        <v>4000</v>
      </c>
      <c r="F496" s="46" t="s">
        <v>100</v>
      </c>
      <c r="G496" s="56" t="s">
        <v>11</v>
      </c>
      <c r="H496" s="56" t="s">
        <v>9</v>
      </c>
      <c r="I496" s="56" t="s">
        <v>29</v>
      </c>
      <c r="J496" s="56">
        <v>44291</v>
      </c>
      <c r="K496" s="59" t="s">
        <v>298</v>
      </c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</row>
    <row r="497" spans="1:47" ht="15.75" customHeight="1">
      <c r="A497" s="60">
        <v>44424</v>
      </c>
      <c r="B497" s="61" t="s">
        <v>1046</v>
      </c>
      <c r="C497" s="62" t="s">
        <v>14</v>
      </c>
      <c r="D497" s="46" t="s">
        <v>54</v>
      </c>
      <c r="E497" s="58">
        <v>83704.06</v>
      </c>
      <c r="F497" s="46" t="s">
        <v>1049</v>
      </c>
      <c r="G497" s="46" t="s">
        <v>24</v>
      </c>
      <c r="H497" s="46" t="s">
        <v>12</v>
      </c>
      <c r="I497" s="46" t="s">
        <v>429</v>
      </c>
      <c r="J497" s="56">
        <v>44397</v>
      </c>
      <c r="K497" s="63" t="s">
        <v>302</v>
      </c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</row>
    <row r="498" spans="1:47" ht="15.75" customHeight="1">
      <c r="A498" s="60">
        <v>44424</v>
      </c>
      <c r="B498" s="61" t="s">
        <v>1050</v>
      </c>
      <c r="C498" s="62" t="s">
        <v>14</v>
      </c>
      <c r="D498" s="46" t="s">
        <v>54</v>
      </c>
      <c r="E498" s="58">
        <v>5000</v>
      </c>
      <c r="F498" s="46" t="s">
        <v>376</v>
      </c>
      <c r="G498" s="46" t="s">
        <v>11</v>
      </c>
      <c r="H498" s="46" t="s">
        <v>12</v>
      </c>
      <c r="I498" s="46" t="s">
        <v>377</v>
      </c>
      <c r="J498" s="56">
        <v>44305</v>
      </c>
      <c r="K498" s="63" t="s">
        <v>304</v>
      </c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</row>
    <row r="499" spans="1:47" ht="15.75" customHeight="1">
      <c r="A499" s="56">
        <v>44425</v>
      </c>
      <c r="B499" s="57" t="s">
        <v>1051</v>
      </c>
      <c r="C499" s="46" t="s">
        <v>150</v>
      </c>
      <c r="D499" s="46" t="s">
        <v>237</v>
      </c>
      <c r="E499" s="58">
        <v>110571.37</v>
      </c>
      <c r="F499" s="46" t="s">
        <v>273</v>
      </c>
      <c r="G499" s="56" t="s">
        <v>104</v>
      </c>
      <c r="H499" s="56" t="s">
        <v>12</v>
      </c>
      <c r="I499" s="56" t="s">
        <v>104</v>
      </c>
      <c r="J499" s="56">
        <v>43990</v>
      </c>
      <c r="K499" s="59" t="s">
        <v>304</v>
      </c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</row>
    <row r="500" spans="1:47" ht="15.75" customHeight="1">
      <c r="A500" s="56">
        <v>44425</v>
      </c>
      <c r="B500" s="57" t="s">
        <v>1052</v>
      </c>
      <c r="C500" s="46" t="s">
        <v>14</v>
      </c>
      <c r="D500" s="46" t="s">
        <v>237</v>
      </c>
      <c r="E500" s="58">
        <v>0</v>
      </c>
      <c r="F500" s="46" t="s">
        <v>530</v>
      </c>
      <c r="G500" s="46" t="s">
        <v>11</v>
      </c>
      <c r="H500" s="46" t="s">
        <v>12</v>
      </c>
      <c r="I500" s="46" t="s">
        <v>297</v>
      </c>
      <c r="J500" s="56">
        <v>44148</v>
      </c>
      <c r="K500" s="63" t="s">
        <v>298</v>
      </c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</row>
    <row r="501" spans="1:47" ht="15.75" customHeight="1">
      <c r="A501" s="60">
        <v>44425</v>
      </c>
      <c r="B501" s="61" t="s">
        <v>1024</v>
      </c>
      <c r="C501" s="62" t="s">
        <v>150</v>
      </c>
      <c r="D501" s="46" t="s">
        <v>861</v>
      </c>
      <c r="E501" s="58">
        <v>3000</v>
      </c>
      <c r="F501" s="46" t="s">
        <v>154</v>
      </c>
      <c r="G501" s="56" t="s">
        <v>11</v>
      </c>
      <c r="H501" s="56" t="s">
        <v>9</v>
      </c>
      <c r="I501" s="56" t="s">
        <v>29</v>
      </c>
      <c r="J501" s="56">
        <v>44321</v>
      </c>
      <c r="K501" s="59" t="s">
        <v>302</v>
      </c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</row>
    <row r="502" spans="1:47" ht="15.75" customHeight="1">
      <c r="A502" s="60">
        <v>44426</v>
      </c>
      <c r="B502" s="61" t="s">
        <v>993</v>
      </c>
      <c r="C502" s="62" t="s">
        <v>150</v>
      </c>
      <c r="D502" s="46" t="s">
        <v>861</v>
      </c>
      <c r="E502" s="58">
        <v>9000</v>
      </c>
      <c r="F502" s="46" t="s">
        <v>239</v>
      </c>
      <c r="G502" s="56" t="s">
        <v>11</v>
      </c>
      <c r="H502" s="56" t="s">
        <v>9</v>
      </c>
      <c r="I502" s="56" t="s">
        <v>29</v>
      </c>
      <c r="J502" s="56">
        <v>44322</v>
      </c>
      <c r="K502" s="59" t="s">
        <v>298</v>
      </c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</row>
    <row r="503" spans="1:47" ht="15.75" customHeight="1">
      <c r="A503" s="60">
        <v>44426</v>
      </c>
      <c r="B503" s="61" t="s">
        <v>1053</v>
      </c>
      <c r="C503" s="62" t="s">
        <v>14</v>
      </c>
      <c r="D503" s="46" t="s">
        <v>861</v>
      </c>
      <c r="E503" s="58">
        <v>10000</v>
      </c>
      <c r="F503" s="46" t="s">
        <v>524</v>
      </c>
      <c r="G503" s="46" t="s">
        <v>11</v>
      </c>
      <c r="H503" s="46" t="s">
        <v>12</v>
      </c>
      <c r="I503" s="46" t="s">
        <v>297</v>
      </c>
      <c r="J503" s="56">
        <v>44133</v>
      </c>
      <c r="K503" s="63" t="s">
        <v>302</v>
      </c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</row>
    <row r="504" spans="1:47" ht="15.75" customHeight="1">
      <c r="A504" s="60">
        <v>44427</v>
      </c>
      <c r="B504" s="61" t="s">
        <v>1054</v>
      </c>
      <c r="C504" s="62" t="s">
        <v>14</v>
      </c>
      <c r="D504" s="46" t="s">
        <v>54</v>
      </c>
      <c r="E504" s="58">
        <v>117509.41</v>
      </c>
      <c r="F504" s="46" t="s">
        <v>379</v>
      </c>
      <c r="G504" s="46" t="s">
        <v>107</v>
      </c>
      <c r="H504" s="46" t="s">
        <v>12</v>
      </c>
      <c r="I504" s="46" t="s">
        <v>107</v>
      </c>
      <c r="J504" s="56">
        <v>44368</v>
      </c>
      <c r="K504" s="63" t="s">
        <v>298</v>
      </c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</row>
    <row r="505" spans="1:47" ht="15.75" customHeight="1">
      <c r="A505" s="56">
        <v>44428</v>
      </c>
      <c r="B505" s="57" t="s">
        <v>1055</v>
      </c>
      <c r="C505" s="46" t="s">
        <v>14</v>
      </c>
      <c r="D505" s="46" t="s">
        <v>237</v>
      </c>
      <c r="E505" s="58">
        <v>0</v>
      </c>
      <c r="F505" s="46" t="s">
        <v>502</v>
      </c>
      <c r="G505" s="46" t="s">
        <v>11</v>
      </c>
      <c r="H505" s="46" t="s">
        <v>12</v>
      </c>
      <c r="I505" s="46" t="s">
        <v>297</v>
      </c>
      <c r="J505" s="56">
        <v>44196</v>
      </c>
      <c r="K505" s="63" t="s">
        <v>301</v>
      </c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</row>
    <row r="506" spans="1:47" ht="15.75" customHeight="1">
      <c r="A506" s="60">
        <v>44428</v>
      </c>
      <c r="B506" s="61" t="s">
        <v>867</v>
      </c>
      <c r="C506" s="62" t="s">
        <v>150</v>
      </c>
      <c r="D506" s="46" t="s">
        <v>861</v>
      </c>
      <c r="E506" s="58">
        <v>70000</v>
      </c>
      <c r="F506" s="46" t="s">
        <v>206</v>
      </c>
      <c r="G506" s="56" t="s">
        <v>107</v>
      </c>
      <c r="H506" s="56" t="s">
        <v>12</v>
      </c>
      <c r="I506" s="56" t="s">
        <v>108</v>
      </c>
      <c r="J506" s="56">
        <v>43703</v>
      </c>
      <c r="K506" s="59" t="s">
        <v>382</v>
      </c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</row>
    <row r="507" spans="1:47" ht="15.75" customHeight="1">
      <c r="A507" s="60">
        <v>44428</v>
      </c>
      <c r="B507" s="61" t="s">
        <v>990</v>
      </c>
      <c r="C507" s="62" t="s">
        <v>14</v>
      </c>
      <c r="D507" s="46" t="s">
        <v>54</v>
      </c>
      <c r="E507" s="58">
        <v>56000</v>
      </c>
      <c r="F507" s="46" t="s">
        <v>552</v>
      </c>
      <c r="G507" s="46" t="s">
        <v>11</v>
      </c>
      <c r="H507" s="46" t="s">
        <v>17</v>
      </c>
      <c r="I507" s="46" t="s">
        <v>35</v>
      </c>
      <c r="J507" s="56">
        <v>44291</v>
      </c>
      <c r="K507" s="63" t="s">
        <v>304</v>
      </c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</row>
    <row r="508" spans="1:47" ht="15.75" customHeight="1">
      <c r="A508" s="60">
        <v>44431</v>
      </c>
      <c r="B508" s="61" t="s">
        <v>1056</v>
      </c>
      <c r="C508" s="62" t="s">
        <v>150</v>
      </c>
      <c r="D508" s="46" t="s">
        <v>861</v>
      </c>
      <c r="E508" s="58">
        <v>86000</v>
      </c>
      <c r="F508" s="46" t="s">
        <v>291</v>
      </c>
      <c r="G508" s="56" t="s">
        <v>11</v>
      </c>
      <c r="H508" s="56" t="s">
        <v>9</v>
      </c>
      <c r="I508" s="56" t="s">
        <v>98</v>
      </c>
      <c r="J508" s="56">
        <v>44267</v>
      </c>
      <c r="K508" s="59" t="s">
        <v>298</v>
      </c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</row>
    <row r="509" spans="1:47" ht="15.75" customHeight="1">
      <c r="A509" s="60">
        <v>44431</v>
      </c>
      <c r="B509" s="61" t="s">
        <v>883</v>
      </c>
      <c r="C509" s="62" t="s">
        <v>150</v>
      </c>
      <c r="D509" s="46" t="s">
        <v>861</v>
      </c>
      <c r="E509" s="58">
        <v>1000</v>
      </c>
      <c r="F509" s="46" t="s">
        <v>113</v>
      </c>
      <c r="G509" s="56" t="s">
        <v>107</v>
      </c>
      <c r="H509" s="56" t="s">
        <v>12</v>
      </c>
      <c r="I509" s="56" t="s">
        <v>108</v>
      </c>
      <c r="J509" s="56">
        <v>43894</v>
      </c>
      <c r="K509" s="59" t="s">
        <v>302</v>
      </c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</row>
    <row r="510" spans="1:47" ht="15.75" customHeight="1">
      <c r="A510" s="60">
        <v>44431</v>
      </c>
      <c r="B510" s="61" t="s">
        <v>939</v>
      </c>
      <c r="C510" s="62" t="s">
        <v>14</v>
      </c>
      <c r="D510" s="46" t="s">
        <v>861</v>
      </c>
      <c r="E510" s="58">
        <v>10000</v>
      </c>
      <c r="F510" s="46" t="s">
        <v>371</v>
      </c>
      <c r="G510" s="46" t="s">
        <v>11</v>
      </c>
      <c r="H510" s="46" t="s">
        <v>12</v>
      </c>
      <c r="I510" s="46" t="s">
        <v>372</v>
      </c>
      <c r="J510" s="56">
        <v>44089</v>
      </c>
      <c r="K510" s="63" t="s">
        <v>301</v>
      </c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</row>
    <row r="511" spans="1:47" ht="15.75" customHeight="1">
      <c r="A511" s="60">
        <v>44432</v>
      </c>
      <c r="B511" s="61" t="s">
        <v>995</v>
      </c>
      <c r="C511" s="62" t="s">
        <v>150</v>
      </c>
      <c r="D511" s="46" t="s">
        <v>861</v>
      </c>
      <c r="E511" s="58">
        <v>15000</v>
      </c>
      <c r="F511" s="46" t="s">
        <v>114</v>
      </c>
      <c r="G511" s="56" t="s">
        <v>11</v>
      </c>
      <c r="H511" s="56" t="s">
        <v>9</v>
      </c>
      <c r="I511" s="56" t="s">
        <v>29</v>
      </c>
      <c r="J511" s="56">
        <v>44319</v>
      </c>
      <c r="K511" s="59" t="s">
        <v>298</v>
      </c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</row>
    <row r="512" spans="1:47" ht="15.75" customHeight="1">
      <c r="A512" s="60">
        <v>44432</v>
      </c>
      <c r="B512" s="61" t="s">
        <v>1057</v>
      </c>
      <c r="C512" s="62" t="s">
        <v>150</v>
      </c>
      <c r="D512" s="46" t="s">
        <v>54</v>
      </c>
      <c r="E512" s="58">
        <v>50000</v>
      </c>
      <c r="F512" s="46" t="s">
        <v>266</v>
      </c>
      <c r="G512" s="56" t="s">
        <v>11</v>
      </c>
      <c r="H512" s="56" t="s">
        <v>9</v>
      </c>
      <c r="I512" s="56" t="s">
        <v>29</v>
      </c>
      <c r="J512" s="56">
        <v>44279</v>
      </c>
      <c r="K512" s="59" t="s">
        <v>298</v>
      </c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</row>
    <row r="513" spans="1:47" ht="15.75" customHeight="1">
      <c r="A513" s="60">
        <v>44432</v>
      </c>
      <c r="B513" s="61" t="s">
        <v>998</v>
      </c>
      <c r="C513" s="62" t="s">
        <v>150</v>
      </c>
      <c r="D513" s="46" t="s">
        <v>861</v>
      </c>
      <c r="E513" s="58">
        <v>150000</v>
      </c>
      <c r="F513" s="46" t="s">
        <v>185</v>
      </c>
      <c r="G513" s="56" t="s">
        <v>11</v>
      </c>
      <c r="H513" s="56" t="s">
        <v>9</v>
      </c>
      <c r="I513" s="56" t="s">
        <v>10</v>
      </c>
      <c r="J513" s="56">
        <v>44328</v>
      </c>
      <c r="K513" s="59" t="s">
        <v>298</v>
      </c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</row>
    <row r="514" spans="1:47" ht="15.75" customHeight="1">
      <c r="A514" s="60">
        <v>44432</v>
      </c>
      <c r="B514" s="61" t="s">
        <v>941</v>
      </c>
      <c r="C514" s="62" t="s">
        <v>14</v>
      </c>
      <c r="D514" s="46" t="s">
        <v>861</v>
      </c>
      <c r="E514" s="58">
        <v>130000</v>
      </c>
      <c r="F514" s="46" t="s">
        <v>313</v>
      </c>
      <c r="G514" s="46" t="s">
        <v>107</v>
      </c>
      <c r="H514" s="46" t="s">
        <v>12</v>
      </c>
      <c r="I514" s="46" t="s">
        <v>107</v>
      </c>
      <c r="J514" s="56">
        <v>44180</v>
      </c>
      <c r="K514" s="63" t="s">
        <v>298</v>
      </c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</row>
    <row r="515" spans="1:47" ht="15.75" customHeight="1">
      <c r="A515" s="60">
        <v>44433</v>
      </c>
      <c r="B515" s="61" t="s">
        <v>941</v>
      </c>
      <c r="C515" s="62" t="s">
        <v>14</v>
      </c>
      <c r="D515" s="46" t="s">
        <v>861</v>
      </c>
      <c r="E515" s="58">
        <v>43000</v>
      </c>
      <c r="F515" s="46" t="s">
        <v>313</v>
      </c>
      <c r="G515" s="46" t="s">
        <v>107</v>
      </c>
      <c r="H515" s="46" t="s">
        <v>12</v>
      </c>
      <c r="I515" s="46" t="s">
        <v>107</v>
      </c>
      <c r="J515" s="56">
        <v>44180</v>
      </c>
      <c r="K515" s="63" t="s">
        <v>298</v>
      </c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</row>
    <row r="516" spans="1:47" ht="15.75" customHeight="1">
      <c r="A516" s="60">
        <v>44433</v>
      </c>
      <c r="B516" s="61" t="s">
        <v>883</v>
      </c>
      <c r="C516" s="62" t="s">
        <v>150</v>
      </c>
      <c r="D516" s="46" t="s">
        <v>861</v>
      </c>
      <c r="E516" s="58">
        <v>40000</v>
      </c>
      <c r="F516" s="46" t="s">
        <v>113</v>
      </c>
      <c r="G516" s="56" t="s">
        <v>107</v>
      </c>
      <c r="H516" s="56" t="s">
        <v>12</v>
      </c>
      <c r="I516" s="56" t="s">
        <v>108</v>
      </c>
      <c r="J516" s="56">
        <v>43894</v>
      </c>
      <c r="K516" s="59" t="s">
        <v>302</v>
      </c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</row>
    <row r="517" spans="1:47" ht="15.75" customHeight="1">
      <c r="A517" s="60">
        <v>44433</v>
      </c>
      <c r="B517" s="61" t="s">
        <v>869</v>
      </c>
      <c r="C517" s="62" t="s">
        <v>150</v>
      </c>
      <c r="D517" s="46" t="s">
        <v>861</v>
      </c>
      <c r="E517" s="58">
        <v>75000</v>
      </c>
      <c r="F517" s="46" t="s">
        <v>101</v>
      </c>
      <c r="G517" s="56" t="s">
        <v>107</v>
      </c>
      <c r="H517" s="56" t="s">
        <v>12</v>
      </c>
      <c r="I517" s="56" t="s">
        <v>108</v>
      </c>
      <c r="J517" s="56">
        <v>43605</v>
      </c>
      <c r="K517" s="59" t="s">
        <v>302</v>
      </c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</row>
    <row r="518" spans="1:47" ht="15.75" customHeight="1">
      <c r="A518" s="60">
        <v>44434</v>
      </c>
      <c r="B518" s="61" t="s">
        <v>962</v>
      </c>
      <c r="C518" s="62" t="s">
        <v>14</v>
      </c>
      <c r="D518" s="46" t="s">
        <v>861</v>
      </c>
      <c r="E518" s="58">
        <v>3000</v>
      </c>
      <c r="F518" s="46" t="s">
        <v>520</v>
      </c>
      <c r="G518" s="46" t="s">
        <v>24</v>
      </c>
      <c r="H518" s="46" t="s">
        <v>12</v>
      </c>
      <c r="I518" s="46" t="s">
        <v>434</v>
      </c>
      <c r="J518" s="56">
        <v>44180</v>
      </c>
      <c r="K518" s="63" t="s">
        <v>298</v>
      </c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</row>
    <row r="519" spans="1:47" ht="15.75" customHeight="1">
      <c r="A519" s="60">
        <v>44434</v>
      </c>
      <c r="B519" s="61" t="s">
        <v>993</v>
      </c>
      <c r="C519" s="62" t="s">
        <v>150</v>
      </c>
      <c r="D519" s="46" t="s">
        <v>861</v>
      </c>
      <c r="E519" s="58">
        <v>2000</v>
      </c>
      <c r="F519" s="46" t="s">
        <v>239</v>
      </c>
      <c r="G519" s="56" t="s">
        <v>11</v>
      </c>
      <c r="H519" s="56" t="s">
        <v>9</v>
      </c>
      <c r="I519" s="56" t="s">
        <v>29</v>
      </c>
      <c r="J519" s="56">
        <v>44322</v>
      </c>
      <c r="K519" s="59" t="s">
        <v>298</v>
      </c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</row>
    <row r="520" spans="1:47" ht="15.75" customHeight="1">
      <c r="A520" s="56">
        <v>44435</v>
      </c>
      <c r="B520" s="57" t="s">
        <v>956</v>
      </c>
      <c r="C520" s="46" t="s">
        <v>150</v>
      </c>
      <c r="D520" s="46" t="s">
        <v>237</v>
      </c>
      <c r="E520" s="58">
        <v>104633.35</v>
      </c>
      <c r="F520" s="46" t="s">
        <v>174</v>
      </c>
      <c r="G520" s="56" t="s">
        <v>11</v>
      </c>
      <c r="H520" s="56" t="s">
        <v>9</v>
      </c>
      <c r="I520" s="56" t="s">
        <v>98</v>
      </c>
      <c r="J520" s="56">
        <v>44273</v>
      </c>
      <c r="K520" s="59" t="s">
        <v>298</v>
      </c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</row>
    <row r="521" spans="1:47" ht="15.75" customHeight="1">
      <c r="A521" s="56">
        <v>44438</v>
      </c>
      <c r="B521" s="57" t="s">
        <v>1053</v>
      </c>
      <c r="C521" s="46" t="s">
        <v>14</v>
      </c>
      <c r="D521" s="46" t="s">
        <v>237</v>
      </c>
      <c r="E521" s="58">
        <v>0</v>
      </c>
      <c r="F521" s="46" t="s">
        <v>524</v>
      </c>
      <c r="G521" s="46" t="s">
        <v>11</v>
      </c>
      <c r="H521" s="46" t="s">
        <v>12</v>
      </c>
      <c r="I521" s="46" t="s">
        <v>297</v>
      </c>
      <c r="J521" s="56">
        <v>44133</v>
      </c>
      <c r="K521" s="63" t="s">
        <v>302</v>
      </c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</row>
    <row r="522" spans="1:47" ht="15.75" customHeight="1">
      <c r="A522" s="60">
        <v>44438</v>
      </c>
      <c r="B522" s="61" t="s">
        <v>1058</v>
      </c>
      <c r="C522" s="62" t="s">
        <v>150</v>
      </c>
      <c r="D522" s="46" t="s">
        <v>861</v>
      </c>
      <c r="E522" s="58">
        <v>50000</v>
      </c>
      <c r="F522" s="46" t="s">
        <v>57</v>
      </c>
      <c r="G522" s="56" t="s">
        <v>11</v>
      </c>
      <c r="H522" s="56" t="s">
        <v>9</v>
      </c>
      <c r="I522" s="56" t="s">
        <v>10</v>
      </c>
      <c r="J522" s="56">
        <v>44340</v>
      </c>
      <c r="K522" s="59" t="s">
        <v>302</v>
      </c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</row>
    <row r="523" spans="1:47" ht="15.75" customHeight="1">
      <c r="A523" s="56">
        <v>44439</v>
      </c>
      <c r="B523" s="57" t="s">
        <v>1059</v>
      </c>
      <c r="C523" s="46" t="s">
        <v>150</v>
      </c>
      <c r="D523" s="46" t="s">
        <v>237</v>
      </c>
      <c r="E523" s="58">
        <v>397214.14</v>
      </c>
      <c r="F523" s="46" t="s">
        <v>275</v>
      </c>
      <c r="G523" s="56" t="s">
        <v>107</v>
      </c>
      <c r="H523" s="56" t="s">
        <v>12</v>
      </c>
      <c r="I523" s="56" t="s">
        <v>153</v>
      </c>
      <c r="J523" s="56">
        <v>43539</v>
      </c>
      <c r="K523" s="59" t="s">
        <v>298</v>
      </c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</row>
    <row r="524" spans="1:47" ht="15.75" customHeight="1">
      <c r="A524" s="56">
        <v>44439</v>
      </c>
      <c r="B524" s="57" t="s">
        <v>1060</v>
      </c>
      <c r="C524" s="46" t="s">
        <v>150</v>
      </c>
      <c r="D524" s="46" t="s">
        <v>237</v>
      </c>
      <c r="E524" s="58">
        <v>40150.79</v>
      </c>
      <c r="F524" s="46" t="s">
        <v>275</v>
      </c>
      <c r="G524" s="56" t="s">
        <v>107</v>
      </c>
      <c r="H524" s="56" t="s">
        <v>12</v>
      </c>
      <c r="I524" s="56" t="s">
        <v>153</v>
      </c>
      <c r="J524" s="56">
        <v>44397</v>
      </c>
      <c r="K524" s="59" t="s">
        <v>309</v>
      </c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</row>
    <row r="525" spans="1:47" ht="15.75" customHeight="1">
      <c r="A525" s="60">
        <v>44439</v>
      </c>
      <c r="B525" s="61" t="s">
        <v>1025</v>
      </c>
      <c r="C525" s="62" t="s">
        <v>150</v>
      </c>
      <c r="D525" s="46" t="s">
        <v>861</v>
      </c>
      <c r="E525" s="58">
        <v>20000</v>
      </c>
      <c r="F525" s="46" t="s">
        <v>251</v>
      </c>
      <c r="G525" s="56" t="s">
        <v>11</v>
      </c>
      <c r="H525" s="56" t="s">
        <v>9</v>
      </c>
      <c r="I525" s="56" t="s">
        <v>10</v>
      </c>
      <c r="J525" s="56">
        <v>44319</v>
      </c>
      <c r="K525" s="59" t="s">
        <v>298</v>
      </c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</row>
    <row r="526" spans="1:47" ht="15.75" customHeight="1">
      <c r="A526" s="60">
        <v>44439</v>
      </c>
      <c r="B526" s="61" t="s">
        <v>1039</v>
      </c>
      <c r="C526" s="62" t="s">
        <v>150</v>
      </c>
      <c r="D526" s="46" t="s">
        <v>861</v>
      </c>
      <c r="E526" s="58">
        <v>130000</v>
      </c>
      <c r="F526" s="46" t="s">
        <v>49</v>
      </c>
      <c r="G526" s="56" t="s">
        <v>11</v>
      </c>
      <c r="H526" s="56" t="s">
        <v>9</v>
      </c>
      <c r="I526" s="56" t="s">
        <v>10</v>
      </c>
      <c r="J526" s="56">
        <v>44280</v>
      </c>
      <c r="K526" s="59" t="s">
        <v>298</v>
      </c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</row>
    <row r="527" spans="1:47" ht="15.75" customHeight="1">
      <c r="A527" s="60">
        <v>44440</v>
      </c>
      <c r="B527" s="61" t="s">
        <v>928</v>
      </c>
      <c r="C527" s="62" t="s">
        <v>150</v>
      </c>
      <c r="D527" s="46" t="s">
        <v>861</v>
      </c>
      <c r="E527" s="58">
        <v>20000</v>
      </c>
      <c r="F527" s="46" t="s">
        <v>53</v>
      </c>
      <c r="G527" s="56" t="s">
        <v>11</v>
      </c>
      <c r="H527" s="56" t="s">
        <v>9</v>
      </c>
      <c r="I527" s="56" t="s">
        <v>10</v>
      </c>
      <c r="J527" s="56">
        <v>44321</v>
      </c>
      <c r="K527" s="59" t="s">
        <v>298</v>
      </c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</row>
    <row r="528" spans="1:47" ht="15.75" customHeight="1">
      <c r="A528" s="60">
        <v>44440</v>
      </c>
      <c r="B528" s="61" t="s">
        <v>888</v>
      </c>
      <c r="C528" s="62" t="s">
        <v>150</v>
      </c>
      <c r="D528" s="46" t="s">
        <v>861</v>
      </c>
      <c r="E528" s="58">
        <v>300000</v>
      </c>
      <c r="F528" s="46" t="s">
        <v>106</v>
      </c>
      <c r="G528" s="56" t="s">
        <v>107</v>
      </c>
      <c r="H528" s="56" t="s">
        <v>12</v>
      </c>
      <c r="I528" s="56" t="s">
        <v>108</v>
      </c>
      <c r="J528" s="56">
        <v>43564</v>
      </c>
      <c r="K528" s="59" t="s">
        <v>304</v>
      </c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</row>
    <row r="529" spans="1:47" ht="15.75" customHeight="1">
      <c r="A529" s="60">
        <v>44441</v>
      </c>
      <c r="B529" s="61" t="s">
        <v>932</v>
      </c>
      <c r="C529" s="62" t="s">
        <v>14</v>
      </c>
      <c r="D529" s="46" t="s">
        <v>861</v>
      </c>
      <c r="E529" s="58">
        <v>25000</v>
      </c>
      <c r="F529" s="46" t="s">
        <v>415</v>
      </c>
      <c r="G529" s="46" t="s">
        <v>24</v>
      </c>
      <c r="H529" s="46" t="s">
        <v>12</v>
      </c>
      <c r="I529" s="46" t="s">
        <v>316</v>
      </c>
      <c r="J529" s="56">
        <v>44263</v>
      </c>
      <c r="K529" s="63" t="s">
        <v>298</v>
      </c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</row>
    <row r="530" spans="1:47" ht="15.75" customHeight="1">
      <c r="A530" s="60">
        <v>44441</v>
      </c>
      <c r="B530" s="61" t="s">
        <v>869</v>
      </c>
      <c r="C530" s="62" t="s">
        <v>150</v>
      </c>
      <c r="D530" s="46" t="s">
        <v>861</v>
      </c>
      <c r="E530" s="58">
        <v>17000</v>
      </c>
      <c r="F530" s="46" t="s">
        <v>101</v>
      </c>
      <c r="G530" s="56" t="s">
        <v>107</v>
      </c>
      <c r="H530" s="56" t="s">
        <v>12</v>
      </c>
      <c r="I530" s="56" t="s">
        <v>108</v>
      </c>
      <c r="J530" s="56">
        <v>43605</v>
      </c>
      <c r="K530" s="59" t="s">
        <v>302</v>
      </c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</row>
    <row r="531" spans="1:47" ht="15.75" customHeight="1">
      <c r="A531" s="56">
        <v>44442</v>
      </c>
      <c r="B531" s="57" t="s">
        <v>1061</v>
      </c>
      <c r="C531" s="46" t="s">
        <v>14</v>
      </c>
      <c r="D531" s="46" t="s">
        <v>237</v>
      </c>
      <c r="E531" s="58">
        <v>0</v>
      </c>
      <c r="F531" s="46" t="s">
        <v>320</v>
      </c>
      <c r="G531" s="46" t="s">
        <v>11</v>
      </c>
      <c r="H531" s="46" t="s">
        <v>12</v>
      </c>
      <c r="I531" s="46" t="s">
        <v>297</v>
      </c>
      <c r="J531" s="56">
        <v>44245</v>
      </c>
      <c r="K531" s="63" t="s">
        <v>298</v>
      </c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</row>
    <row r="532" spans="1:47" ht="15.75" customHeight="1">
      <c r="A532" s="60">
        <v>44442</v>
      </c>
      <c r="B532" s="61" t="s">
        <v>1062</v>
      </c>
      <c r="C532" s="62" t="s">
        <v>14</v>
      </c>
      <c r="D532" s="46" t="s">
        <v>861</v>
      </c>
      <c r="E532" s="58">
        <v>150000</v>
      </c>
      <c r="F532" s="46" t="s">
        <v>299</v>
      </c>
      <c r="G532" s="46" t="s">
        <v>11</v>
      </c>
      <c r="H532" s="46" t="s">
        <v>12</v>
      </c>
      <c r="I532" s="46" t="s">
        <v>297</v>
      </c>
      <c r="J532" s="56">
        <v>44326</v>
      </c>
      <c r="K532" s="63" t="s">
        <v>301</v>
      </c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</row>
    <row r="533" spans="1:47" ht="15.75" customHeight="1">
      <c r="A533" s="60">
        <v>44442</v>
      </c>
      <c r="B533" s="61" t="s">
        <v>1063</v>
      </c>
      <c r="C533" s="62" t="s">
        <v>14</v>
      </c>
      <c r="D533" s="46" t="s">
        <v>861</v>
      </c>
      <c r="E533" s="58">
        <v>84278.97</v>
      </c>
      <c r="F533" s="46" t="s">
        <v>549</v>
      </c>
      <c r="G533" s="46" t="s">
        <v>107</v>
      </c>
      <c r="H533" s="46" t="s">
        <v>12</v>
      </c>
      <c r="I533" s="46" t="s">
        <v>107</v>
      </c>
      <c r="J533" s="56">
        <v>44355</v>
      </c>
      <c r="K533" s="63" t="s">
        <v>302</v>
      </c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</row>
    <row r="534" spans="1:47" ht="15.75" customHeight="1">
      <c r="A534" s="60">
        <v>44442</v>
      </c>
      <c r="B534" s="61" t="s">
        <v>1012</v>
      </c>
      <c r="C534" s="62" t="s">
        <v>150</v>
      </c>
      <c r="D534" s="46" t="s">
        <v>861</v>
      </c>
      <c r="E534" s="58">
        <v>130000</v>
      </c>
      <c r="F534" s="46" t="s">
        <v>212</v>
      </c>
      <c r="G534" s="56" t="s">
        <v>11</v>
      </c>
      <c r="H534" s="56" t="s">
        <v>9</v>
      </c>
      <c r="I534" s="56" t="s">
        <v>10</v>
      </c>
      <c r="J534" s="56">
        <v>44313</v>
      </c>
      <c r="K534" s="59" t="s">
        <v>298</v>
      </c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</row>
    <row r="535" spans="1:47" ht="15.75" customHeight="1">
      <c r="A535" s="56">
        <v>44445</v>
      </c>
      <c r="B535" s="57" t="s">
        <v>1064</v>
      </c>
      <c r="C535" s="46" t="s">
        <v>14</v>
      </c>
      <c r="D535" s="46" t="s">
        <v>237</v>
      </c>
      <c r="E535" s="58">
        <v>0</v>
      </c>
      <c r="F535" s="46" t="s">
        <v>387</v>
      </c>
      <c r="G535" s="46" t="s">
        <v>11</v>
      </c>
      <c r="H535" s="46" t="s">
        <v>12</v>
      </c>
      <c r="I535" s="46" t="s">
        <v>297</v>
      </c>
      <c r="J535" s="56">
        <v>44085</v>
      </c>
      <c r="K535" s="63" t="s">
        <v>301</v>
      </c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</row>
    <row r="536" spans="1:47" ht="15.75" customHeight="1">
      <c r="A536" s="56">
        <v>44445</v>
      </c>
      <c r="B536" s="57" t="s">
        <v>1065</v>
      </c>
      <c r="C536" s="46" t="s">
        <v>14</v>
      </c>
      <c r="D536" s="46" t="s">
        <v>237</v>
      </c>
      <c r="E536" s="58">
        <v>0</v>
      </c>
      <c r="F536" s="46" t="s">
        <v>521</v>
      </c>
      <c r="G536" s="46" t="s">
        <v>11</v>
      </c>
      <c r="H536" s="46" t="s">
        <v>12</v>
      </c>
      <c r="I536" s="46" t="s">
        <v>297</v>
      </c>
      <c r="J536" s="56">
        <v>44147</v>
      </c>
      <c r="K536" s="63" t="s">
        <v>302</v>
      </c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</row>
    <row r="537" spans="1:47" ht="15.75" customHeight="1">
      <c r="A537" s="60">
        <v>44445</v>
      </c>
      <c r="B537" s="61" t="s">
        <v>994</v>
      </c>
      <c r="C537" s="62" t="s">
        <v>150</v>
      </c>
      <c r="D537" s="46" t="s">
        <v>861</v>
      </c>
      <c r="E537" s="58">
        <v>20000</v>
      </c>
      <c r="F537" s="46" t="s">
        <v>218</v>
      </c>
      <c r="G537" s="56" t="s">
        <v>11</v>
      </c>
      <c r="H537" s="56" t="s">
        <v>9</v>
      </c>
      <c r="I537" s="56" t="s">
        <v>98</v>
      </c>
      <c r="J537" s="56">
        <v>44266</v>
      </c>
      <c r="K537" s="59" t="s">
        <v>302</v>
      </c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</row>
    <row r="538" spans="1:47" ht="15.75" customHeight="1">
      <c r="A538" s="56">
        <v>44447</v>
      </c>
      <c r="B538" s="57" t="s">
        <v>1066</v>
      </c>
      <c r="C538" s="46" t="s">
        <v>14</v>
      </c>
      <c r="D538" s="46" t="s">
        <v>237</v>
      </c>
      <c r="E538" s="58">
        <v>0</v>
      </c>
      <c r="F538" s="46" t="s">
        <v>519</v>
      </c>
      <c r="G538" s="46" t="s">
        <v>11</v>
      </c>
      <c r="H538" s="46" t="s">
        <v>12</v>
      </c>
      <c r="I538" s="46" t="s">
        <v>1067</v>
      </c>
      <c r="J538" s="56">
        <v>44096</v>
      </c>
      <c r="K538" s="63" t="s">
        <v>298</v>
      </c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</row>
    <row r="539" spans="1:47" ht="15.75" customHeight="1">
      <c r="A539" s="60">
        <v>44447</v>
      </c>
      <c r="B539" s="61" t="s">
        <v>1068</v>
      </c>
      <c r="C539" s="62" t="s">
        <v>150</v>
      </c>
      <c r="D539" s="46" t="s">
        <v>861</v>
      </c>
      <c r="E539" s="58">
        <v>300000</v>
      </c>
      <c r="F539" s="46" t="s">
        <v>214</v>
      </c>
      <c r="G539" s="56" t="s">
        <v>104</v>
      </c>
      <c r="H539" s="56" t="s">
        <v>12</v>
      </c>
      <c r="I539" s="56" t="s">
        <v>104</v>
      </c>
      <c r="J539" s="56">
        <v>44021</v>
      </c>
      <c r="K539" s="59" t="s">
        <v>298</v>
      </c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</row>
    <row r="540" spans="1:47" ht="15.75" customHeight="1">
      <c r="A540" s="60">
        <v>44447</v>
      </c>
      <c r="B540" s="61" t="s">
        <v>979</v>
      </c>
      <c r="C540" s="62" t="s">
        <v>150</v>
      </c>
      <c r="D540" s="46" t="s">
        <v>861</v>
      </c>
      <c r="E540" s="58">
        <v>25000</v>
      </c>
      <c r="F540" s="46" t="s">
        <v>264</v>
      </c>
      <c r="G540" s="56" t="s">
        <v>11</v>
      </c>
      <c r="H540" s="56" t="s">
        <v>9</v>
      </c>
      <c r="I540" s="56" t="s">
        <v>29</v>
      </c>
      <c r="J540" s="56">
        <v>44279</v>
      </c>
      <c r="K540" s="59" t="s">
        <v>298</v>
      </c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</row>
    <row r="541" spans="1:47" ht="15.75" customHeight="1">
      <c r="A541" s="56">
        <v>44448</v>
      </c>
      <c r="B541" s="57" t="s">
        <v>1069</v>
      </c>
      <c r="C541" s="46" t="s">
        <v>150</v>
      </c>
      <c r="D541" s="46" t="s">
        <v>237</v>
      </c>
      <c r="E541" s="58">
        <v>130029.24</v>
      </c>
      <c r="F541" s="46" t="s">
        <v>278</v>
      </c>
      <c r="G541" s="56" t="s">
        <v>104</v>
      </c>
      <c r="H541" s="56" t="s">
        <v>12</v>
      </c>
      <c r="I541" s="56" t="s">
        <v>104</v>
      </c>
      <c r="J541" s="56">
        <v>43441</v>
      </c>
      <c r="K541" s="59" t="s">
        <v>304</v>
      </c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</row>
    <row r="542" spans="1:47" ht="15.75" customHeight="1">
      <c r="A542" s="56">
        <v>44448</v>
      </c>
      <c r="B542" s="57" t="s">
        <v>887</v>
      </c>
      <c r="C542" s="46" t="s">
        <v>150</v>
      </c>
      <c r="D542" s="46" t="s">
        <v>237</v>
      </c>
      <c r="E542" s="58">
        <v>555581.43999999994</v>
      </c>
      <c r="F542" s="46" t="s">
        <v>272</v>
      </c>
      <c r="G542" s="56" t="s">
        <v>107</v>
      </c>
      <c r="H542" s="56" t="s">
        <v>12</v>
      </c>
      <c r="I542" s="56" t="s">
        <v>153</v>
      </c>
      <c r="J542" s="56">
        <v>43607</v>
      </c>
      <c r="K542" s="59" t="s">
        <v>382</v>
      </c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</row>
    <row r="543" spans="1:47" ht="15.75" customHeight="1">
      <c r="A543" s="60">
        <v>44448</v>
      </c>
      <c r="B543" s="61" t="s">
        <v>1070</v>
      </c>
      <c r="C543" s="62" t="s">
        <v>150</v>
      </c>
      <c r="D543" s="46" t="s">
        <v>861</v>
      </c>
      <c r="E543" s="58">
        <v>17000</v>
      </c>
      <c r="F543" s="46" t="s">
        <v>279</v>
      </c>
      <c r="G543" s="56" t="s">
        <v>11</v>
      </c>
      <c r="H543" s="56" t="s">
        <v>9</v>
      </c>
      <c r="I543" s="56" t="s">
        <v>10</v>
      </c>
      <c r="J543" s="56">
        <v>44263</v>
      </c>
      <c r="K543" s="59" t="s">
        <v>302</v>
      </c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</row>
    <row r="544" spans="1:47" ht="15.75" customHeight="1">
      <c r="A544" s="60">
        <v>44449</v>
      </c>
      <c r="B544" s="61" t="s">
        <v>1071</v>
      </c>
      <c r="C544" s="62" t="s">
        <v>150</v>
      </c>
      <c r="D544" s="46" t="s">
        <v>861</v>
      </c>
      <c r="E544" s="58">
        <v>2502500.1</v>
      </c>
      <c r="F544" s="46" t="s">
        <v>34</v>
      </c>
      <c r="G544" s="56" t="s">
        <v>11</v>
      </c>
      <c r="H544" s="56" t="s">
        <v>9</v>
      </c>
      <c r="I544" s="56" t="s">
        <v>10</v>
      </c>
      <c r="J544" s="56">
        <v>44266</v>
      </c>
      <c r="K544" s="59" t="s">
        <v>295</v>
      </c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</row>
    <row r="545" spans="1:47" ht="15.75" customHeight="1">
      <c r="A545" s="60">
        <v>44449</v>
      </c>
      <c r="B545" s="61" t="s">
        <v>1072</v>
      </c>
      <c r="C545" s="62" t="s">
        <v>14</v>
      </c>
      <c r="D545" s="46" t="s">
        <v>54</v>
      </c>
      <c r="E545" s="58">
        <v>0</v>
      </c>
      <c r="F545" s="46" t="s">
        <v>383</v>
      </c>
      <c r="G545" s="46" t="s">
        <v>107</v>
      </c>
      <c r="H545" s="46" t="s">
        <v>12</v>
      </c>
      <c r="I545" s="46" t="s">
        <v>107</v>
      </c>
      <c r="J545" s="56">
        <v>43869</v>
      </c>
      <c r="K545" s="63" t="s">
        <v>298</v>
      </c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</row>
    <row r="546" spans="1:47" ht="15.75" customHeight="1">
      <c r="A546" s="56">
        <v>44450</v>
      </c>
      <c r="B546" s="57" t="s">
        <v>1073</v>
      </c>
      <c r="C546" s="46" t="s">
        <v>14</v>
      </c>
      <c r="D546" s="46" t="s">
        <v>237</v>
      </c>
      <c r="E546" s="58">
        <v>0</v>
      </c>
      <c r="F546" s="46" t="s">
        <v>391</v>
      </c>
      <c r="G546" s="46" t="s">
        <v>11</v>
      </c>
      <c r="H546" s="46" t="s">
        <v>12</v>
      </c>
      <c r="I546" s="46" t="s">
        <v>297</v>
      </c>
      <c r="J546" s="56">
        <v>44203</v>
      </c>
      <c r="K546" s="63" t="s">
        <v>298</v>
      </c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</row>
    <row r="547" spans="1:47" ht="15.75" customHeight="1">
      <c r="A547" s="56">
        <v>44450</v>
      </c>
      <c r="B547" s="57" t="s">
        <v>1074</v>
      </c>
      <c r="C547" s="46" t="s">
        <v>14</v>
      </c>
      <c r="D547" s="46" t="s">
        <v>237</v>
      </c>
      <c r="E547" s="58">
        <v>0</v>
      </c>
      <c r="F547" s="46" t="s">
        <v>391</v>
      </c>
      <c r="G547" s="46" t="s">
        <v>11</v>
      </c>
      <c r="H547" s="46" t="s">
        <v>12</v>
      </c>
      <c r="I547" s="46" t="s">
        <v>297</v>
      </c>
      <c r="J547" s="56">
        <v>44203</v>
      </c>
      <c r="K547" s="63" t="s">
        <v>309</v>
      </c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</row>
    <row r="548" spans="1:47" ht="15.75" customHeight="1">
      <c r="A548" s="60">
        <v>44452</v>
      </c>
      <c r="B548" s="61" t="s">
        <v>1075</v>
      </c>
      <c r="C548" s="62" t="s">
        <v>14</v>
      </c>
      <c r="D548" s="46" t="s">
        <v>861</v>
      </c>
      <c r="E548" s="86">
        <v>4000</v>
      </c>
      <c r="F548" s="46" t="s">
        <v>329</v>
      </c>
      <c r="G548" s="46" t="s">
        <v>24</v>
      </c>
      <c r="H548" s="46" t="s">
        <v>12</v>
      </c>
      <c r="I548" s="46" t="s">
        <v>128</v>
      </c>
      <c r="J548" s="56">
        <v>44362</v>
      </c>
      <c r="K548" s="63" t="s">
        <v>302</v>
      </c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</row>
    <row r="549" spans="1:47" ht="15.75" customHeight="1">
      <c r="A549" s="60">
        <v>44452</v>
      </c>
      <c r="B549" s="61" t="s">
        <v>929</v>
      </c>
      <c r="C549" s="62" t="s">
        <v>150</v>
      </c>
      <c r="D549" s="46" t="s">
        <v>861</v>
      </c>
      <c r="E549" s="86">
        <v>20000</v>
      </c>
      <c r="F549" s="46" t="s">
        <v>103</v>
      </c>
      <c r="G549" s="56" t="s">
        <v>11</v>
      </c>
      <c r="H549" s="56" t="s">
        <v>9</v>
      </c>
      <c r="I549" s="56" t="s">
        <v>10</v>
      </c>
      <c r="J549" s="56">
        <v>44295</v>
      </c>
      <c r="K549" s="59" t="s">
        <v>301</v>
      </c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</row>
    <row r="550" spans="1:47" ht="15.75" customHeight="1">
      <c r="A550" s="60">
        <v>44452</v>
      </c>
      <c r="B550" s="61" t="s">
        <v>995</v>
      </c>
      <c r="C550" s="62" t="s">
        <v>150</v>
      </c>
      <c r="D550" s="46" t="s">
        <v>861</v>
      </c>
      <c r="E550" s="86">
        <v>5000</v>
      </c>
      <c r="F550" s="46" t="s">
        <v>114</v>
      </c>
      <c r="G550" s="56" t="s">
        <v>11</v>
      </c>
      <c r="H550" s="56" t="s">
        <v>9</v>
      </c>
      <c r="I550" s="56" t="s">
        <v>29</v>
      </c>
      <c r="J550" s="56">
        <v>44319</v>
      </c>
      <c r="K550" s="59" t="s">
        <v>298</v>
      </c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</row>
    <row r="551" spans="1:47" ht="15.75" customHeight="1">
      <c r="A551" s="56">
        <v>44452</v>
      </c>
      <c r="B551" s="57" t="s">
        <v>1076</v>
      </c>
      <c r="C551" s="46" t="s">
        <v>14</v>
      </c>
      <c r="D551" s="46" t="s">
        <v>237</v>
      </c>
      <c r="E551" s="58">
        <v>0</v>
      </c>
      <c r="F551" s="46" t="s">
        <v>534</v>
      </c>
      <c r="G551" s="46" t="s">
        <v>355</v>
      </c>
      <c r="H551" s="46" t="s">
        <v>12</v>
      </c>
      <c r="I551" s="46" t="s">
        <v>24</v>
      </c>
      <c r="J551" s="56">
        <v>44250</v>
      </c>
      <c r="K551" s="63" t="s">
        <v>309</v>
      </c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</row>
    <row r="552" spans="1:47" ht="15.75" customHeight="1">
      <c r="A552" s="56">
        <v>44452</v>
      </c>
      <c r="B552" s="57" t="s">
        <v>1077</v>
      </c>
      <c r="C552" s="46" t="s">
        <v>14</v>
      </c>
      <c r="D552" s="46" t="s">
        <v>237</v>
      </c>
      <c r="E552" s="58">
        <v>0</v>
      </c>
      <c r="F552" s="46" t="s">
        <v>522</v>
      </c>
      <c r="G552" s="46" t="s">
        <v>11</v>
      </c>
      <c r="H552" s="46" t="s">
        <v>12</v>
      </c>
      <c r="I552" s="46" t="s">
        <v>297</v>
      </c>
      <c r="J552" s="56">
        <v>44120</v>
      </c>
      <c r="K552" s="63" t="s">
        <v>298</v>
      </c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</row>
    <row r="553" spans="1:47" ht="15.75" customHeight="1">
      <c r="A553" s="60">
        <v>44453</v>
      </c>
      <c r="B553" s="61" t="s">
        <v>992</v>
      </c>
      <c r="C553" s="62" t="s">
        <v>150</v>
      </c>
      <c r="D553" s="46" t="s">
        <v>861</v>
      </c>
      <c r="E553" s="86">
        <v>10000</v>
      </c>
      <c r="F553" s="46" t="s">
        <v>164</v>
      </c>
      <c r="G553" s="56" t="s">
        <v>11</v>
      </c>
      <c r="H553" s="56" t="s">
        <v>9</v>
      </c>
      <c r="I553" s="56" t="s">
        <v>29</v>
      </c>
      <c r="J553" s="56">
        <v>44295</v>
      </c>
      <c r="K553" s="59" t="s">
        <v>295</v>
      </c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</row>
    <row r="554" spans="1:47" ht="15.75" customHeight="1">
      <c r="A554" s="60">
        <v>44453</v>
      </c>
      <c r="B554" s="61" t="s">
        <v>1068</v>
      </c>
      <c r="C554" s="62" t="s">
        <v>150</v>
      </c>
      <c r="D554" s="46" t="s">
        <v>861</v>
      </c>
      <c r="E554" s="86">
        <v>300000</v>
      </c>
      <c r="F554" s="46" t="s">
        <v>214</v>
      </c>
      <c r="G554" s="56" t="s">
        <v>104</v>
      </c>
      <c r="H554" s="56" t="s">
        <v>12</v>
      </c>
      <c r="I554" s="56" t="s">
        <v>104</v>
      </c>
      <c r="J554" s="56">
        <v>44021</v>
      </c>
      <c r="K554" s="59" t="s">
        <v>298</v>
      </c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</row>
    <row r="555" spans="1:47" ht="15.75" customHeight="1">
      <c r="A555" s="56">
        <v>44453</v>
      </c>
      <c r="B555" s="57" t="s">
        <v>1078</v>
      </c>
      <c r="C555" s="46" t="s">
        <v>14</v>
      </c>
      <c r="D555" s="46" t="s">
        <v>237</v>
      </c>
      <c r="E555" s="58">
        <v>0</v>
      </c>
      <c r="F555" s="46" t="s">
        <v>392</v>
      </c>
      <c r="G555" s="46" t="s">
        <v>11</v>
      </c>
      <c r="H555" s="46" t="s">
        <v>12</v>
      </c>
      <c r="I555" s="46" t="s">
        <v>297</v>
      </c>
      <c r="J555" s="56">
        <v>44202</v>
      </c>
      <c r="K555" s="63" t="s">
        <v>298</v>
      </c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</row>
    <row r="556" spans="1:47" ht="15.75" customHeight="1">
      <c r="A556" s="60">
        <v>44455</v>
      </c>
      <c r="B556" s="57" t="s">
        <v>1079</v>
      </c>
      <c r="C556" s="62" t="s">
        <v>14</v>
      </c>
      <c r="D556" s="46" t="s">
        <v>861</v>
      </c>
      <c r="E556" s="86">
        <v>135728.28</v>
      </c>
      <c r="F556" s="46" t="s">
        <v>342</v>
      </c>
      <c r="G556" s="46" t="s">
        <v>11</v>
      </c>
      <c r="H556" s="46" t="s">
        <v>17</v>
      </c>
      <c r="I556" s="46" t="s">
        <v>35</v>
      </c>
      <c r="J556" s="56">
        <v>44204</v>
      </c>
      <c r="K556" s="63" t="s">
        <v>298</v>
      </c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</row>
    <row r="557" spans="1:47" ht="15.75" customHeight="1">
      <c r="A557" s="56">
        <v>44455</v>
      </c>
      <c r="B557" s="57" t="s">
        <v>1080</v>
      </c>
      <c r="C557" s="46" t="s">
        <v>150</v>
      </c>
      <c r="D557" s="46" t="s">
        <v>237</v>
      </c>
      <c r="E557" s="65">
        <v>107666.91</v>
      </c>
      <c r="F557" s="46" t="s">
        <v>289</v>
      </c>
      <c r="G557" s="56" t="s">
        <v>107</v>
      </c>
      <c r="H557" s="56" t="s">
        <v>12</v>
      </c>
      <c r="I557" s="56" t="s">
        <v>108</v>
      </c>
      <c r="J557" s="56">
        <v>43843</v>
      </c>
      <c r="K557" s="59" t="s">
        <v>302</v>
      </c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</row>
    <row r="558" spans="1:47" ht="15.75" customHeight="1">
      <c r="A558" s="56">
        <v>44455</v>
      </c>
      <c r="B558" s="61" t="s">
        <v>1081</v>
      </c>
      <c r="C558" s="46" t="s">
        <v>14</v>
      </c>
      <c r="D558" s="46" t="s">
        <v>237</v>
      </c>
      <c r="E558" s="58">
        <v>0</v>
      </c>
      <c r="F558" s="46" t="s">
        <v>474</v>
      </c>
      <c r="G558" s="46" t="s">
        <v>11</v>
      </c>
      <c r="H558" s="46" t="s">
        <v>12</v>
      </c>
      <c r="I558" s="46" t="s">
        <v>297</v>
      </c>
      <c r="J558" s="56">
        <v>44384</v>
      </c>
      <c r="K558" s="63" t="s">
        <v>301</v>
      </c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</row>
    <row r="559" spans="1:47" ht="15.75" customHeight="1">
      <c r="A559" s="60">
        <v>44456</v>
      </c>
      <c r="B559" s="61" t="s">
        <v>867</v>
      </c>
      <c r="C559" s="62" t="s">
        <v>150</v>
      </c>
      <c r="D559" s="46" t="s">
        <v>861</v>
      </c>
      <c r="E559" s="86">
        <v>7500</v>
      </c>
      <c r="F559" s="46" t="s">
        <v>206</v>
      </c>
      <c r="G559" s="56" t="s">
        <v>107</v>
      </c>
      <c r="H559" s="56" t="s">
        <v>12</v>
      </c>
      <c r="I559" s="56" t="s">
        <v>108</v>
      </c>
      <c r="J559" s="56">
        <v>43703</v>
      </c>
      <c r="K559" s="59" t="s">
        <v>382</v>
      </c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</row>
    <row r="560" spans="1:47" ht="15.75" customHeight="1">
      <c r="A560" s="56">
        <v>44456</v>
      </c>
      <c r="B560" s="57" t="s">
        <v>1082</v>
      </c>
      <c r="C560" s="46" t="s">
        <v>14</v>
      </c>
      <c r="D560" s="46" t="s">
        <v>237</v>
      </c>
      <c r="E560" s="58">
        <v>0</v>
      </c>
      <c r="F560" s="46" t="s">
        <v>296</v>
      </c>
      <c r="G560" s="46" t="s">
        <v>11</v>
      </c>
      <c r="H560" s="46" t="s">
        <v>12</v>
      </c>
      <c r="I560" s="46" t="s">
        <v>297</v>
      </c>
      <c r="J560" s="56">
        <v>44186</v>
      </c>
      <c r="K560" s="63" t="s">
        <v>298</v>
      </c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</row>
    <row r="561" spans="1:47" ht="15.75" customHeight="1">
      <c r="A561" s="56">
        <v>44456</v>
      </c>
      <c r="B561" s="57" t="s">
        <v>1083</v>
      </c>
      <c r="C561" s="46" t="s">
        <v>14</v>
      </c>
      <c r="D561" s="46" t="s">
        <v>237</v>
      </c>
      <c r="E561" s="58">
        <v>0</v>
      </c>
      <c r="F561" s="46" t="s">
        <v>450</v>
      </c>
      <c r="G561" s="46" t="s">
        <v>11</v>
      </c>
      <c r="H561" s="46" t="s">
        <v>12</v>
      </c>
      <c r="I561" s="46" t="s">
        <v>297</v>
      </c>
      <c r="J561" s="56">
        <v>44456</v>
      </c>
      <c r="K561" s="63" t="s">
        <v>309</v>
      </c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</row>
    <row r="562" spans="1:47" ht="15.75" customHeight="1">
      <c r="A562" s="60">
        <v>44459</v>
      </c>
      <c r="B562" s="61" t="s">
        <v>1013</v>
      </c>
      <c r="C562" s="62" t="s">
        <v>150</v>
      </c>
      <c r="D562" s="46" t="s">
        <v>861</v>
      </c>
      <c r="E562" s="71">
        <v>159337.69</v>
      </c>
      <c r="F562" s="46" t="s">
        <v>63</v>
      </c>
      <c r="G562" s="56" t="s">
        <v>11</v>
      </c>
      <c r="H562" s="56" t="s">
        <v>9</v>
      </c>
      <c r="I562" s="56" t="s">
        <v>10</v>
      </c>
      <c r="J562" s="56">
        <v>44280</v>
      </c>
      <c r="K562" s="59" t="s">
        <v>301</v>
      </c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</row>
    <row r="563" spans="1:47" ht="15.75" customHeight="1">
      <c r="A563" s="60">
        <v>44459</v>
      </c>
      <c r="B563" s="61" t="s">
        <v>1084</v>
      </c>
      <c r="C563" s="62" t="s">
        <v>150</v>
      </c>
      <c r="D563" s="46" t="s">
        <v>861</v>
      </c>
      <c r="E563" s="86">
        <v>20000</v>
      </c>
      <c r="F563" s="46" t="s">
        <v>205</v>
      </c>
      <c r="G563" s="56" t="s">
        <v>11</v>
      </c>
      <c r="H563" s="56" t="s">
        <v>9</v>
      </c>
      <c r="I563" s="56" t="s">
        <v>29</v>
      </c>
      <c r="J563" s="56">
        <v>44319</v>
      </c>
      <c r="K563" s="59" t="s">
        <v>295</v>
      </c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</row>
    <row r="564" spans="1:47" ht="15.75" customHeight="1">
      <c r="A564" s="60">
        <v>44459</v>
      </c>
      <c r="B564" s="61" t="s">
        <v>998</v>
      </c>
      <c r="C564" s="62" t="s">
        <v>150</v>
      </c>
      <c r="D564" s="46" t="s">
        <v>861</v>
      </c>
      <c r="E564" s="86">
        <v>271802.71999999997</v>
      </c>
      <c r="F564" s="46" t="s">
        <v>185</v>
      </c>
      <c r="G564" s="56" t="s">
        <v>11</v>
      </c>
      <c r="H564" s="56" t="s">
        <v>9</v>
      </c>
      <c r="I564" s="56" t="s">
        <v>10</v>
      </c>
      <c r="J564" s="56">
        <v>44328</v>
      </c>
      <c r="K564" s="59" t="s">
        <v>298</v>
      </c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</row>
    <row r="565" spans="1:47" ht="15.75" customHeight="1">
      <c r="A565" s="56">
        <v>44459</v>
      </c>
      <c r="B565" s="61" t="s">
        <v>1033</v>
      </c>
      <c r="C565" s="46" t="s">
        <v>14</v>
      </c>
      <c r="D565" s="46" t="s">
        <v>237</v>
      </c>
      <c r="E565" s="58">
        <v>0</v>
      </c>
      <c r="F565" s="46" t="s">
        <v>409</v>
      </c>
      <c r="G565" s="46" t="s">
        <v>11</v>
      </c>
      <c r="H565" s="46" t="s">
        <v>12</v>
      </c>
      <c r="I565" s="46" t="s">
        <v>138</v>
      </c>
      <c r="J565" s="56"/>
      <c r="K565" s="63" t="s">
        <v>304</v>
      </c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</row>
    <row r="566" spans="1:47" ht="15.75" customHeight="1">
      <c r="A566" s="60">
        <v>44460</v>
      </c>
      <c r="B566" s="61" t="s">
        <v>1071</v>
      </c>
      <c r="C566" s="62" t="s">
        <v>150</v>
      </c>
      <c r="D566" s="46" t="s">
        <v>861</v>
      </c>
      <c r="E566" s="86">
        <v>100000</v>
      </c>
      <c r="F566" s="46" t="s">
        <v>34</v>
      </c>
      <c r="G566" s="56" t="s">
        <v>11</v>
      </c>
      <c r="H566" s="56" t="s">
        <v>9</v>
      </c>
      <c r="I566" s="56" t="s">
        <v>10</v>
      </c>
      <c r="J566" s="56">
        <v>44266</v>
      </c>
      <c r="K566" s="59" t="s">
        <v>295</v>
      </c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</row>
    <row r="567" spans="1:47" ht="15.75" customHeight="1">
      <c r="A567" s="60">
        <v>44460</v>
      </c>
      <c r="B567" s="57" t="s">
        <v>1085</v>
      </c>
      <c r="C567" s="62" t="s">
        <v>14</v>
      </c>
      <c r="D567" s="46" t="s">
        <v>54</v>
      </c>
      <c r="E567" s="58">
        <v>157308.25</v>
      </c>
      <c r="F567" s="46" t="s">
        <v>517</v>
      </c>
      <c r="G567" s="46" t="s">
        <v>107</v>
      </c>
      <c r="H567" s="46" t="s">
        <v>12</v>
      </c>
      <c r="I567" s="46" t="s">
        <v>107</v>
      </c>
      <c r="J567" s="56">
        <v>44250</v>
      </c>
      <c r="K567" s="63" t="s">
        <v>298</v>
      </c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</row>
    <row r="568" spans="1:47" ht="15.75" customHeight="1">
      <c r="A568" s="56">
        <v>44460</v>
      </c>
      <c r="B568" s="57" t="s">
        <v>1086</v>
      </c>
      <c r="C568" s="46" t="s">
        <v>14</v>
      </c>
      <c r="D568" s="46" t="s">
        <v>237</v>
      </c>
      <c r="E568" s="58">
        <v>0</v>
      </c>
      <c r="F568" s="46" t="s">
        <v>567</v>
      </c>
      <c r="G568" s="46" t="s">
        <v>11</v>
      </c>
      <c r="H568" s="46" t="s">
        <v>12</v>
      </c>
      <c r="I568" s="46" t="s">
        <v>297</v>
      </c>
      <c r="J568" s="56">
        <v>44088</v>
      </c>
      <c r="K568" s="63" t="s">
        <v>304</v>
      </c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</row>
    <row r="569" spans="1:47" ht="15.75" customHeight="1">
      <c r="A569" s="60">
        <v>44461</v>
      </c>
      <c r="B569" s="61" t="s">
        <v>124</v>
      </c>
      <c r="C569" s="62" t="s">
        <v>120</v>
      </c>
      <c r="D569" s="46" t="s">
        <v>861</v>
      </c>
      <c r="E569" s="86">
        <v>50000</v>
      </c>
      <c r="F569" s="46" t="s">
        <v>41</v>
      </c>
      <c r="G569" s="56" t="s">
        <v>11</v>
      </c>
      <c r="H569" s="56" t="s">
        <v>12</v>
      </c>
      <c r="I569" s="56" t="s">
        <v>125</v>
      </c>
      <c r="J569" s="56">
        <v>43934</v>
      </c>
      <c r="K569" s="59" t="s">
        <v>295</v>
      </c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</row>
    <row r="570" spans="1:47" ht="15.75" customHeight="1">
      <c r="A570" s="60">
        <v>44461</v>
      </c>
      <c r="B570" s="61" t="s">
        <v>1087</v>
      </c>
      <c r="C570" s="62" t="s">
        <v>150</v>
      </c>
      <c r="D570" s="46" t="s">
        <v>861</v>
      </c>
      <c r="E570" s="86">
        <v>30000</v>
      </c>
      <c r="F570" s="46" t="s">
        <v>215</v>
      </c>
      <c r="G570" s="56" t="s">
        <v>11</v>
      </c>
      <c r="H570" s="56" t="s">
        <v>9</v>
      </c>
      <c r="I570" s="56" t="s">
        <v>10</v>
      </c>
      <c r="J570" s="56">
        <v>44319</v>
      </c>
      <c r="K570" s="59" t="s">
        <v>298</v>
      </c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</row>
    <row r="571" spans="1:47" ht="15.75" customHeight="1">
      <c r="A571" s="60">
        <v>44462</v>
      </c>
      <c r="B571" s="57" t="s">
        <v>962</v>
      </c>
      <c r="C571" s="62" t="s">
        <v>14</v>
      </c>
      <c r="D571" s="46" t="s">
        <v>861</v>
      </c>
      <c r="E571" s="86">
        <v>20000</v>
      </c>
      <c r="F571" s="46" t="s">
        <v>520</v>
      </c>
      <c r="G571" s="46" t="s">
        <v>24</v>
      </c>
      <c r="H571" s="46" t="s">
        <v>12</v>
      </c>
      <c r="I571" s="46" t="s">
        <v>434</v>
      </c>
      <c r="J571" s="56">
        <v>44180</v>
      </c>
      <c r="K571" s="63" t="s">
        <v>298</v>
      </c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</row>
    <row r="572" spans="1:47" ht="15.75" customHeight="1">
      <c r="A572" s="60">
        <v>44462</v>
      </c>
      <c r="B572" s="57" t="s">
        <v>1088</v>
      </c>
      <c r="C572" s="62" t="s">
        <v>150</v>
      </c>
      <c r="D572" s="46" t="s">
        <v>54</v>
      </c>
      <c r="E572" s="86">
        <v>1421504</v>
      </c>
      <c r="F572" s="46" t="s">
        <v>167</v>
      </c>
      <c r="G572" s="56" t="s">
        <v>11</v>
      </c>
      <c r="H572" s="56" t="s">
        <v>9</v>
      </c>
      <c r="I572" s="56" t="s">
        <v>10</v>
      </c>
      <c r="J572" s="56">
        <v>44280</v>
      </c>
      <c r="K572" s="59" t="s">
        <v>304</v>
      </c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</row>
    <row r="573" spans="1:47" ht="15.75" customHeight="1">
      <c r="A573" s="60">
        <v>44463</v>
      </c>
      <c r="B573" s="87" t="s">
        <v>1089</v>
      </c>
      <c r="C573" s="62" t="s">
        <v>150</v>
      </c>
      <c r="D573" s="46" t="s">
        <v>861</v>
      </c>
      <c r="E573" s="86">
        <v>8000</v>
      </c>
      <c r="F573" s="46" t="s">
        <v>206</v>
      </c>
      <c r="G573" s="56" t="s">
        <v>107</v>
      </c>
      <c r="H573" s="56" t="s">
        <v>12</v>
      </c>
      <c r="I573" s="56" t="s">
        <v>108</v>
      </c>
      <c r="J573" s="56">
        <v>43704</v>
      </c>
      <c r="K573" s="59" t="s">
        <v>302</v>
      </c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</row>
    <row r="574" spans="1:47" ht="15.75" customHeight="1">
      <c r="A574" s="60">
        <v>44463</v>
      </c>
      <c r="B574" s="87" t="s">
        <v>993</v>
      </c>
      <c r="C574" s="62" t="s">
        <v>150</v>
      </c>
      <c r="D574" s="46" t="s">
        <v>861</v>
      </c>
      <c r="E574" s="86">
        <v>20000</v>
      </c>
      <c r="F574" s="46" t="s">
        <v>239</v>
      </c>
      <c r="G574" s="56" t="s">
        <v>11</v>
      </c>
      <c r="H574" s="56" t="s">
        <v>9</v>
      </c>
      <c r="I574" s="56" t="s">
        <v>29</v>
      </c>
      <c r="J574" s="56">
        <v>44322</v>
      </c>
      <c r="K574" s="59" t="s">
        <v>298</v>
      </c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</row>
    <row r="575" spans="1:47" ht="15.75" customHeight="1">
      <c r="A575" s="60">
        <v>44463</v>
      </c>
      <c r="B575" s="61" t="s">
        <v>1071</v>
      </c>
      <c r="C575" s="62" t="s">
        <v>150</v>
      </c>
      <c r="D575" s="46" t="s">
        <v>861</v>
      </c>
      <c r="E575" s="86">
        <v>300000</v>
      </c>
      <c r="F575" s="46" t="s">
        <v>34</v>
      </c>
      <c r="G575" s="56" t="s">
        <v>11</v>
      </c>
      <c r="H575" s="56" t="s">
        <v>9</v>
      </c>
      <c r="I575" s="56" t="s">
        <v>10</v>
      </c>
      <c r="J575" s="56">
        <v>44266</v>
      </c>
      <c r="K575" s="59" t="s">
        <v>295</v>
      </c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</row>
    <row r="576" spans="1:47" ht="15.75" customHeight="1">
      <c r="A576" s="60">
        <v>44466</v>
      </c>
      <c r="B576" s="87" t="s">
        <v>995</v>
      </c>
      <c r="C576" s="62" t="s">
        <v>150</v>
      </c>
      <c r="D576" s="46" t="s">
        <v>861</v>
      </c>
      <c r="E576" s="86">
        <v>10000</v>
      </c>
      <c r="F576" s="46" t="s">
        <v>114</v>
      </c>
      <c r="G576" s="56" t="s">
        <v>11</v>
      </c>
      <c r="H576" s="56" t="s">
        <v>9</v>
      </c>
      <c r="I576" s="56" t="s">
        <v>29</v>
      </c>
      <c r="J576" s="56">
        <v>44319</v>
      </c>
      <c r="K576" s="59" t="s">
        <v>298</v>
      </c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</row>
    <row r="577" spans="1:47" ht="15.75" customHeight="1">
      <c r="A577" s="60">
        <v>44466</v>
      </c>
      <c r="B577" s="57" t="s">
        <v>869</v>
      </c>
      <c r="C577" s="62" t="s">
        <v>150</v>
      </c>
      <c r="D577" s="46" t="s">
        <v>861</v>
      </c>
      <c r="E577" s="86">
        <v>12000</v>
      </c>
      <c r="F577" s="46" t="s">
        <v>101</v>
      </c>
      <c r="G577" s="56" t="s">
        <v>107</v>
      </c>
      <c r="H577" s="56" t="s">
        <v>12</v>
      </c>
      <c r="I577" s="56" t="s">
        <v>108</v>
      </c>
      <c r="J577" s="56">
        <v>43605</v>
      </c>
      <c r="K577" s="59" t="s">
        <v>302</v>
      </c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</row>
    <row r="578" spans="1:47" ht="15.75" customHeight="1">
      <c r="A578" s="60">
        <v>44466</v>
      </c>
      <c r="B578" s="87" t="s">
        <v>1090</v>
      </c>
      <c r="C578" s="62" t="s">
        <v>150</v>
      </c>
      <c r="D578" s="46" t="s">
        <v>861</v>
      </c>
      <c r="E578" s="86">
        <v>100000</v>
      </c>
      <c r="F578" s="46" t="s">
        <v>52</v>
      </c>
      <c r="G578" s="56" t="s">
        <v>11</v>
      </c>
      <c r="H578" s="56" t="s">
        <v>9</v>
      </c>
      <c r="I578" s="56" t="s">
        <v>98</v>
      </c>
      <c r="J578" s="56">
        <v>44299</v>
      </c>
      <c r="K578" s="59" t="s">
        <v>298</v>
      </c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</row>
    <row r="579" spans="1:47" ht="15.75" customHeight="1">
      <c r="A579" s="56">
        <v>44467</v>
      </c>
      <c r="B579" s="61" t="s">
        <v>1091</v>
      </c>
      <c r="C579" s="46" t="s">
        <v>14</v>
      </c>
      <c r="D579" s="46" t="s">
        <v>237</v>
      </c>
      <c r="E579" s="58">
        <v>0</v>
      </c>
      <c r="F579" s="46" t="s">
        <v>460</v>
      </c>
      <c r="G579" s="46" t="s">
        <v>24</v>
      </c>
      <c r="H579" s="46" t="s">
        <v>12</v>
      </c>
      <c r="I579" s="46" t="s">
        <v>949</v>
      </c>
      <c r="J579" s="56">
        <v>44917</v>
      </c>
      <c r="K579" s="63" t="s">
        <v>295</v>
      </c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</row>
    <row r="580" spans="1:47" ht="15.75" customHeight="1">
      <c r="A580" s="60">
        <v>44468</v>
      </c>
      <c r="B580" s="87" t="s">
        <v>1092</v>
      </c>
      <c r="C580" s="62" t="s">
        <v>150</v>
      </c>
      <c r="D580" s="46" t="s">
        <v>861</v>
      </c>
      <c r="E580" s="86" t="s">
        <v>1093</v>
      </c>
      <c r="F580" s="46" t="s">
        <v>254</v>
      </c>
      <c r="G580" s="56" t="s">
        <v>11</v>
      </c>
      <c r="H580" s="56" t="s">
        <v>9</v>
      </c>
      <c r="I580" s="56" t="s">
        <v>29</v>
      </c>
      <c r="J580" s="56">
        <v>44391</v>
      </c>
      <c r="K580" s="59" t="s">
        <v>298</v>
      </c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</row>
    <row r="581" spans="1:47" ht="15.75" customHeight="1">
      <c r="A581" s="60">
        <v>44468</v>
      </c>
      <c r="B581" s="87" t="s">
        <v>1005</v>
      </c>
      <c r="C581" s="62" t="s">
        <v>150</v>
      </c>
      <c r="D581" s="46" t="s">
        <v>861</v>
      </c>
      <c r="E581" s="86">
        <v>30000</v>
      </c>
      <c r="F581" s="46" t="s">
        <v>61</v>
      </c>
      <c r="G581" s="56" t="s">
        <v>11</v>
      </c>
      <c r="H581" s="56" t="s">
        <v>9</v>
      </c>
      <c r="I581" s="56" t="s">
        <v>10</v>
      </c>
      <c r="J581" s="56">
        <v>44319</v>
      </c>
      <c r="K581" s="59" t="s">
        <v>298</v>
      </c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</row>
    <row r="582" spans="1:47" ht="15.75" customHeight="1">
      <c r="A582" s="60">
        <v>44468</v>
      </c>
      <c r="B582" s="87" t="s">
        <v>979</v>
      </c>
      <c r="C582" s="62" t="s">
        <v>150</v>
      </c>
      <c r="D582" s="46" t="s">
        <v>861</v>
      </c>
      <c r="E582" s="86">
        <v>100000</v>
      </c>
      <c r="F582" s="46" t="s">
        <v>264</v>
      </c>
      <c r="G582" s="56" t="s">
        <v>11</v>
      </c>
      <c r="H582" s="56" t="s">
        <v>9</v>
      </c>
      <c r="I582" s="56" t="s">
        <v>29</v>
      </c>
      <c r="J582" s="56">
        <v>44279</v>
      </c>
      <c r="K582" s="59" t="s">
        <v>298</v>
      </c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</row>
    <row r="583" spans="1:47" ht="15.75" customHeight="1">
      <c r="A583" s="60">
        <v>44468</v>
      </c>
      <c r="B583" s="87" t="s">
        <v>1094</v>
      </c>
      <c r="C583" s="62" t="s">
        <v>150</v>
      </c>
      <c r="D583" s="46" t="s">
        <v>861</v>
      </c>
      <c r="E583" s="86">
        <v>120000</v>
      </c>
      <c r="F583" s="46" t="s">
        <v>240</v>
      </c>
      <c r="G583" s="56" t="s">
        <v>11</v>
      </c>
      <c r="H583" s="56" t="s">
        <v>9</v>
      </c>
      <c r="I583" s="56" t="s">
        <v>98</v>
      </c>
      <c r="J583" s="56">
        <v>44279</v>
      </c>
      <c r="K583" s="59" t="s">
        <v>295</v>
      </c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</row>
    <row r="584" spans="1:47" ht="15.75" customHeight="1">
      <c r="A584" s="60">
        <v>44469</v>
      </c>
      <c r="B584" s="57" t="s">
        <v>1095</v>
      </c>
      <c r="C584" s="62" t="s">
        <v>14</v>
      </c>
      <c r="D584" s="46" t="s">
        <v>54</v>
      </c>
      <c r="E584" s="58">
        <v>456422.62</v>
      </c>
      <c r="F584" s="46" t="s">
        <v>442</v>
      </c>
      <c r="G584" s="46" t="s">
        <v>24</v>
      </c>
      <c r="H584" s="46" t="s">
        <v>12</v>
      </c>
      <c r="I584" s="46" t="s">
        <v>358</v>
      </c>
      <c r="J584" s="56">
        <v>44130</v>
      </c>
      <c r="K584" s="63" t="s">
        <v>298</v>
      </c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</row>
    <row r="585" spans="1:47" ht="15.75" customHeight="1">
      <c r="A585" s="60">
        <v>44469</v>
      </c>
      <c r="B585" s="87" t="s">
        <v>1024</v>
      </c>
      <c r="C585" s="62" t="s">
        <v>150</v>
      </c>
      <c r="D585" s="46" t="s">
        <v>861</v>
      </c>
      <c r="E585" s="86">
        <v>100000</v>
      </c>
      <c r="F585" s="46" t="s">
        <v>154</v>
      </c>
      <c r="G585" s="56" t="s">
        <v>11</v>
      </c>
      <c r="H585" s="56" t="s">
        <v>9</v>
      </c>
      <c r="I585" s="56" t="s">
        <v>29</v>
      </c>
      <c r="J585" s="56">
        <v>44321</v>
      </c>
      <c r="K585" s="59" t="s">
        <v>302</v>
      </c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</row>
    <row r="586" spans="1:47" ht="15.75" customHeight="1">
      <c r="A586" s="60">
        <v>44470</v>
      </c>
      <c r="B586" s="61" t="s">
        <v>985</v>
      </c>
      <c r="C586" s="62" t="s">
        <v>150</v>
      </c>
      <c r="D586" s="46" t="s">
        <v>861</v>
      </c>
      <c r="E586" s="86">
        <v>14000</v>
      </c>
      <c r="F586" s="46" t="s">
        <v>84</v>
      </c>
      <c r="G586" s="56" t="s">
        <v>11</v>
      </c>
      <c r="H586" s="56" t="s">
        <v>9</v>
      </c>
      <c r="I586" s="56" t="s">
        <v>10</v>
      </c>
      <c r="J586" s="56">
        <v>44280</v>
      </c>
      <c r="K586" s="59" t="s">
        <v>298</v>
      </c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</row>
    <row r="587" spans="1:47" ht="15.75" customHeight="1">
      <c r="A587" s="60">
        <v>44470</v>
      </c>
      <c r="B587" s="87" t="s">
        <v>994</v>
      </c>
      <c r="C587" s="62" t="s">
        <v>150</v>
      </c>
      <c r="D587" s="46" t="s">
        <v>861</v>
      </c>
      <c r="E587" s="86">
        <v>45000</v>
      </c>
      <c r="F587" s="46" t="s">
        <v>218</v>
      </c>
      <c r="G587" s="56" t="s">
        <v>11</v>
      </c>
      <c r="H587" s="56" t="s">
        <v>9</v>
      </c>
      <c r="I587" s="56" t="s">
        <v>98</v>
      </c>
      <c r="J587" s="56">
        <v>44266</v>
      </c>
      <c r="K587" s="59" t="s">
        <v>302</v>
      </c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</row>
    <row r="588" spans="1:47" ht="15.75" customHeight="1">
      <c r="A588" s="60">
        <v>44470</v>
      </c>
      <c r="B588" s="87" t="s">
        <v>999</v>
      </c>
      <c r="C588" s="62" t="s">
        <v>150</v>
      </c>
      <c r="D588" s="46" t="s">
        <v>861</v>
      </c>
      <c r="E588" s="86">
        <v>10000</v>
      </c>
      <c r="F588" s="46" t="s">
        <v>172</v>
      </c>
      <c r="G588" s="56" t="s">
        <v>11</v>
      </c>
      <c r="H588" s="56" t="s">
        <v>9</v>
      </c>
      <c r="I588" s="56" t="s">
        <v>98</v>
      </c>
      <c r="J588" s="56">
        <v>44260</v>
      </c>
      <c r="K588" s="59" t="s">
        <v>298</v>
      </c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</row>
    <row r="589" spans="1:47" ht="15.75" customHeight="1">
      <c r="A589" s="60">
        <v>44470</v>
      </c>
      <c r="B589" s="87" t="s">
        <v>1096</v>
      </c>
      <c r="C589" s="62" t="s">
        <v>150</v>
      </c>
      <c r="D589" s="46" t="s">
        <v>861</v>
      </c>
      <c r="E589" s="86">
        <v>100000</v>
      </c>
      <c r="F589" s="46" t="s">
        <v>186</v>
      </c>
      <c r="G589" s="56" t="s">
        <v>11</v>
      </c>
      <c r="H589" s="56" t="s">
        <v>9</v>
      </c>
      <c r="I589" s="56" t="s">
        <v>29</v>
      </c>
      <c r="J589" s="56">
        <v>44393</v>
      </c>
      <c r="K589" s="59" t="s">
        <v>405</v>
      </c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</row>
    <row r="590" spans="1:47" ht="15.75" customHeight="1">
      <c r="A590" s="56">
        <v>44470</v>
      </c>
      <c r="B590" s="78" t="s">
        <v>999</v>
      </c>
      <c r="C590" s="46" t="s">
        <v>150</v>
      </c>
      <c r="D590" s="46" t="s">
        <v>237</v>
      </c>
      <c r="E590" s="58">
        <v>151371.24</v>
      </c>
      <c r="F590" s="46" t="s">
        <v>172</v>
      </c>
      <c r="G590" s="56" t="s">
        <v>11</v>
      </c>
      <c r="H590" s="56" t="s">
        <v>9</v>
      </c>
      <c r="I590" s="56" t="s">
        <v>98</v>
      </c>
      <c r="J590" s="56">
        <v>44260</v>
      </c>
      <c r="K590" s="59" t="s">
        <v>298</v>
      </c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</row>
    <row r="591" spans="1:47" ht="15.75" customHeight="1">
      <c r="A591" s="60">
        <v>44473</v>
      </c>
      <c r="B591" s="57" t="s">
        <v>1094</v>
      </c>
      <c r="C591" s="62" t="s">
        <v>150</v>
      </c>
      <c r="D591" s="46" t="s">
        <v>861</v>
      </c>
      <c r="E591" s="86">
        <v>80000</v>
      </c>
      <c r="F591" s="46" t="s">
        <v>240</v>
      </c>
      <c r="G591" s="56" t="s">
        <v>11</v>
      </c>
      <c r="H591" s="56" t="s">
        <v>9</v>
      </c>
      <c r="I591" s="56" t="s">
        <v>98</v>
      </c>
      <c r="J591" s="56">
        <v>44279</v>
      </c>
      <c r="K591" s="59" t="s">
        <v>295</v>
      </c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</row>
    <row r="592" spans="1:47" ht="15.75" customHeight="1">
      <c r="A592" s="56">
        <v>44473</v>
      </c>
      <c r="B592" s="61" t="s">
        <v>1046</v>
      </c>
      <c r="C592" s="46" t="s">
        <v>14</v>
      </c>
      <c r="D592" s="46" t="s">
        <v>237</v>
      </c>
      <c r="E592" s="58">
        <v>0</v>
      </c>
      <c r="F592" s="46" t="s">
        <v>564</v>
      </c>
      <c r="G592" s="46" t="s">
        <v>24</v>
      </c>
      <c r="H592" s="46" t="s">
        <v>12</v>
      </c>
      <c r="I592" s="46" t="s">
        <v>429</v>
      </c>
      <c r="J592" s="56">
        <v>44397</v>
      </c>
      <c r="K592" s="63" t="s">
        <v>302</v>
      </c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</row>
    <row r="593" spans="1:47" ht="15.75" customHeight="1">
      <c r="A593" s="56">
        <v>44473</v>
      </c>
      <c r="B593" s="61" t="s">
        <v>1097</v>
      </c>
      <c r="C593" s="46" t="s">
        <v>14</v>
      </c>
      <c r="D593" s="46" t="s">
        <v>237</v>
      </c>
      <c r="E593" s="58">
        <v>0</v>
      </c>
      <c r="F593" s="46" t="s">
        <v>305</v>
      </c>
      <c r="G593" s="46" t="s">
        <v>11</v>
      </c>
      <c r="H593" s="46" t="s">
        <v>12</v>
      </c>
      <c r="I593" s="46" t="s">
        <v>138</v>
      </c>
      <c r="J593" s="56">
        <v>44302</v>
      </c>
      <c r="K593" s="63" t="s">
        <v>304</v>
      </c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</row>
    <row r="594" spans="1:47" ht="15.75" customHeight="1">
      <c r="A594" s="56">
        <v>44473</v>
      </c>
      <c r="B594" s="57" t="s">
        <v>1098</v>
      </c>
      <c r="C594" s="46" t="s">
        <v>150</v>
      </c>
      <c r="D594" s="46" t="s">
        <v>237</v>
      </c>
      <c r="E594" s="58">
        <v>172836.33</v>
      </c>
      <c r="F594" s="46" t="s">
        <v>176</v>
      </c>
      <c r="G594" s="56" t="s">
        <v>107</v>
      </c>
      <c r="H594" s="56" t="s">
        <v>12</v>
      </c>
      <c r="I594" s="56" t="s">
        <v>108</v>
      </c>
      <c r="J594" s="56">
        <v>43865</v>
      </c>
      <c r="K594" s="59" t="s">
        <v>298</v>
      </c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</row>
    <row r="595" spans="1:47" ht="15.75" customHeight="1">
      <c r="A595" s="56">
        <v>44473</v>
      </c>
      <c r="B595" s="61" t="s">
        <v>922</v>
      </c>
      <c r="C595" s="46" t="s">
        <v>150</v>
      </c>
      <c r="D595" s="46" t="s">
        <v>237</v>
      </c>
      <c r="E595" s="58">
        <v>154589.26999999999</v>
      </c>
      <c r="F595" s="46" t="s">
        <v>246</v>
      </c>
      <c r="G595" s="56" t="s">
        <v>107</v>
      </c>
      <c r="H595" s="56" t="s">
        <v>12</v>
      </c>
      <c r="I595" s="56" t="s">
        <v>108</v>
      </c>
      <c r="J595" s="56">
        <v>43873</v>
      </c>
      <c r="K595" s="59" t="s">
        <v>298</v>
      </c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</row>
    <row r="596" spans="1:47" ht="15.75" customHeight="1">
      <c r="A596" s="56">
        <v>44473</v>
      </c>
      <c r="B596" s="78" t="s">
        <v>1094</v>
      </c>
      <c r="C596" s="46" t="s">
        <v>150</v>
      </c>
      <c r="D596" s="46" t="s">
        <v>237</v>
      </c>
      <c r="E596" s="58">
        <v>237009.79</v>
      </c>
      <c r="F596" s="46" t="s">
        <v>240</v>
      </c>
      <c r="G596" s="56" t="s">
        <v>11</v>
      </c>
      <c r="H596" s="56" t="s">
        <v>9</v>
      </c>
      <c r="I596" s="56" t="s">
        <v>98</v>
      </c>
      <c r="J596" s="56">
        <v>44279</v>
      </c>
      <c r="K596" s="59" t="s">
        <v>295</v>
      </c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</row>
    <row r="597" spans="1:47" ht="15.75" customHeight="1">
      <c r="A597" s="60">
        <v>44474</v>
      </c>
      <c r="B597" s="61" t="s">
        <v>999</v>
      </c>
      <c r="C597" s="62" t="s">
        <v>150</v>
      </c>
      <c r="D597" s="46" t="s">
        <v>861</v>
      </c>
      <c r="E597" s="71">
        <v>49307.71</v>
      </c>
      <c r="F597" s="46" t="s">
        <v>172</v>
      </c>
      <c r="G597" s="56" t="s">
        <v>11</v>
      </c>
      <c r="H597" s="56" t="s">
        <v>9</v>
      </c>
      <c r="I597" s="56" t="s">
        <v>98</v>
      </c>
      <c r="J597" s="56">
        <v>44260</v>
      </c>
      <c r="K597" s="59" t="s">
        <v>298</v>
      </c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</row>
    <row r="598" spans="1:47" ht="15.75" customHeight="1">
      <c r="A598" s="60">
        <v>44474</v>
      </c>
      <c r="B598" s="61" t="s">
        <v>1013</v>
      </c>
      <c r="C598" s="62" t="s">
        <v>150</v>
      </c>
      <c r="D598" s="46" t="s">
        <v>861</v>
      </c>
      <c r="E598" s="86">
        <v>56000</v>
      </c>
      <c r="F598" s="46" t="s">
        <v>63</v>
      </c>
      <c r="G598" s="56" t="s">
        <v>11</v>
      </c>
      <c r="H598" s="56" t="s">
        <v>9</v>
      </c>
      <c r="I598" s="56" t="s">
        <v>10</v>
      </c>
      <c r="J598" s="56">
        <v>44280</v>
      </c>
      <c r="K598" s="59" t="s">
        <v>301</v>
      </c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</row>
    <row r="599" spans="1:47" ht="15.75" customHeight="1">
      <c r="A599" s="60">
        <v>44474</v>
      </c>
      <c r="B599" s="61" t="s">
        <v>1084</v>
      </c>
      <c r="C599" s="62" t="s">
        <v>150</v>
      </c>
      <c r="D599" s="46" t="s">
        <v>861</v>
      </c>
      <c r="E599" s="86">
        <v>5500</v>
      </c>
      <c r="F599" s="46" t="s">
        <v>205</v>
      </c>
      <c r="G599" s="56" t="s">
        <v>11</v>
      </c>
      <c r="H599" s="56" t="s">
        <v>9</v>
      </c>
      <c r="I599" s="56" t="s">
        <v>29</v>
      </c>
      <c r="J599" s="56">
        <v>44319</v>
      </c>
      <c r="K599" s="59" t="s">
        <v>295</v>
      </c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</row>
    <row r="600" spans="1:47" ht="15.75" customHeight="1">
      <c r="A600" s="60">
        <v>44474</v>
      </c>
      <c r="B600" s="61" t="s">
        <v>1012</v>
      </c>
      <c r="C600" s="62" t="s">
        <v>150</v>
      </c>
      <c r="D600" s="46" t="s">
        <v>861</v>
      </c>
      <c r="E600" s="86">
        <v>175000</v>
      </c>
      <c r="F600" s="46" t="s">
        <v>212</v>
      </c>
      <c r="G600" s="56" t="s">
        <v>11</v>
      </c>
      <c r="H600" s="56" t="s">
        <v>9</v>
      </c>
      <c r="I600" s="56" t="s">
        <v>10</v>
      </c>
      <c r="J600" s="56">
        <v>44313</v>
      </c>
      <c r="K600" s="59" t="s">
        <v>298</v>
      </c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</row>
    <row r="601" spans="1:47" ht="15.75" customHeight="1">
      <c r="A601" s="60">
        <v>44474</v>
      </c>
      <c r="B601" s="61" t="s">
        <v>1099</v>
      </c>
      <c r="C601" s="62" t="s">
        <v>150</v>
      </c>
      <c r="D601" s="46" t="s">
        <v>861</v>
      </c>
      <c r="E601" s="86">
        <v>10000</v>
      </c>
      <c r="F601" s="46" t="s">
        <v>40</v>
      </c>
      <c r="G601" s="56" t="s">
        <v>11</v>
      </c>
      <c r="H601" s="56" t="s">
        <v>9</v>
      </c>
      <c r="I601" s="56" t="s">
        <v>10</v>
      </c>
      <c r="J601" s="56">
        <v>44421</v>
      </c>
      <c r="K601" s="59" t="s">
        <v>298</v>
      </c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</row>
    <row r="602" spans="1:47" ht="15.75" customHeight="1">
      <c r="A602" s="60">
        <v>44474</v>
      </c>
      <c r="B602" s="61" t="s">
        <v>1039</v>
      </c>
      <c r="C602" s="62" t="s">
        <v>150</v>
      </c>
      <c r="D602" s="46" t="s">
        <v>861</v>
      </c>
      <c r="E602" s="86">
        <v>10000</v>
      </c>
      <c r="F602" s="46" t="s">
        <v>49</v>
      </c>
      <c r="G602" s="56" t="s">
        <v>11</v>
      </c>
      <c r="H602" s="56" t="s">
        <v>9</v>
      </c>
      <c r="I602" s="56" t="s">
        <v>10</v>
      </c>
      <c r="J602" s="56">
        <v>44280</v>
      </c>
      <c r="K602" s="59" t="s">
        <v>298</v>
      </c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</row>
    <row r="603" spans="1:47" ht="15.75" customHeight="1">
      <c r="A603" s="60">
        <v>44474</v>
      </c>
      <c r="B603" s="61" t="s">
        <v>867</v>
      </c>
      <c r="C603" s="62" t="s">
        <v>150</v>
      </c>
      <c r="D603" s="46" t="s">
        <v>861</v>
      </c>
      <c r="E603" s="86">
        <v>10000</v>
      </c>
      <c r="F603" s="46" t="s">
        <v>206</v>
      </c>
      <c r="G603" s="56" t="s">
        <v>107</v>
      </c>
      <c r="H603" s="56" t="s">
        <v>12</v>
      </c>
      <c r="I603" s="56" t="s">
        <v>108</v>
      </c>
      <c r="J603" s="56">
        <v>43703</v>
      </c>
      <c r="K603" s="59" t="s">
        <v>382</v>
      </c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</row>
    <row r="604" spans="1:47" ht="15.75" customHeight="1">
      <c r="A604" s="60">
        <v>44474</v>
      </c>
      <c r="B604" s="61" t="s">
        <v>928</v>
      </c>
      <c r="C604" s="62" t="s">
        <v>150</v>
      </c>
      <c r="D604" s="46" t="s">
        <v>861</v>
      </c>
      <c r="E604" s="86">
        <v>40000</v>
      </c>
      <c r="F604" s="46" t="s">
        <v>53</v>
      </c>
      <c r="G604" s="56" t="s">
        <v>11</v>
      </c>
      <c r="H604" s="56" t="s">
        <v>9</v>
      </c>
      <c r="I604" s="56" t="s">
        <v>10</v>
      </c>
      <c r="J604" s="56">
        <v>44321</v>
      </c>
      <c r="K604" s="59" t="s">
        <v>298</v>
      </c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</row>
    <row r="605" spans="1:47" ht="15.75" customHeight="1">
      <c r="A605" s="60">
        <v>44474</v>
      </c>
      <c r="B605" s="61" t="s">
        <v>1100</v>
      </c>
      <c r="C605" s="62" t="s">
        <v>150</v>
      </c>
      <c r="D605" s="46" t="s">
        <v>861</v>
      </c>
      <c r="E605" s="86">
        <v>150000</v>
      </c>
      <c r="F605" s="46" t="s">
        <v>223</v>
      </c>
      <c r="G605" s="56" t="s">
        <v>107</v>
      </c>
      <c r="H605" s="56" t="s">
        <v>12</v>
      </c>
      <c r="I605" s="56" t="s">
        <v>108</v>
      </c>
      <c r="J605" s="56">
        <v>43879</v>
      </c>
      <c r="K605" s="59" t="s">
        <v>298</v>
      </c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</row>
    <row r="606" spans="1:47" ht="15.75" customHeight="1">
      <c r="A606" s="60">
        <v>44475</v>
      </c>
      <c r="B606" s="61" t="s">
        <v>1094</v>
      </c>
      <c r="C606" s="62" t="s">
        <v>150</v>
      </c>
      <c r="D606" s="46" t="s">
        <v>861</v>
      </c>
      <c r="E606" s="86">
        <v>30000</v>
      </c>
      <c r="F606" s="46" t="s">
        <v>240</v>
      </c>
      <c r="G606" s="56" t="s">
        <v>11</v>
      </c>
      <c r="H606" s="56" t="s">
        <v>9</v>
      </c>
      <c r="I606" s="56" t="s">
        <v>98</v>
      </c>
      <c r="J606" s="56">
        <v>44279</v>
      </c>
      <c r="K606" s="59" t="s">
        <v>295</v>
      </c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</row>
    <row r="607" spans="1:47" ht="15.75" customHeight="1">
      <c r="A607" s="60">
        <v>44475</v>
      </c>
      <c r="B607" s="61" t="s">
        <v>993</v>
      </c>
      <c r="C607" s="62" t="s">
        <v>150</v>
      </c>
      <c r="D607" s="46" t="s">
        <v>861</v>
      </c>
      <c r="E607" s="86">
        <v>20000</v>
      </c>
      <c r="F607" s="46" t="s">
        <v>239</v>
      </c>
      <c r="G607" s="56" t="s">
        <v>11</v>
      </c>
      <c r="H607" s="56" t="s">
        <v>9</v>
      </c>
      <c r="I607" s="56" t="s">
        <v>29</v>
      </c>
      <c r="J607" s="56">
        <v>44322</v>
      </c>
      <c r="K607" s="59" t="s">
        <v>298</v>
      </c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</row>
    <row r="608" spans="1:47" ht="15.75" customHeight="1">
      <c r="A608" s="60">
        <v>44476</v>
      </c>
      <c r="B608" s="61" t="s">
        <v>1101</v>
      </c>
      <c r="C608" s="62" t="s">
        <v>150</v>
      </c>
      <c r="D608" s="46" t="s">
        <v>54</v>
      </c>
      <c r="E608" s="58">
        <v>121689.31</v>
      </c>
      <c r="F608" s="46" t="s">
        <v>203</v>
      </c>
      <c r="G608" s="56" t="s">
        <v>11</v>
      </c>
      <c r="H608" s="56" t="s">
        <v>9</v>
      </c>
      <c r="I608" s="56" t="s">
        <v>10</v>
      </c>
      <c r="J608" s="56">
        <v>44333</v>
      </c>
      <c r="K608" s="59" t="s">
        <v>298</v>
      </c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</row>
    <row r="609" spans="1:47" ht="15.75" customHeight="1">
      <c r="A609" s="60">
        <v>44477</v>
      </c>
      <c r="B609" s="88" t="s">
        <v>955</v>
      </c>
      <c r="C609" s="62" t="s">
        <v>14</v>
      </c>
      <c r="D609" s="46" t="s">
        <v>54</v>
      </c>
      <c r="E609" s="58">
        <v>94947.93</v>
      </c>
      <c r="F609" s="46" t="s">
        <v>545</v>
      </c>
      <c r="G609" s="46" t="s">
        <v>24</v>
      </c>
      <c r="H609" s="46" t="s">
        <v>12</v>
      </c>
      <c r="I609" s="46" t="s">
        <v>546</v>
      </c>
      <c r="J609" s="56">
        <v>44105</v>
      </c>
      <c r="K609" s="63" t="s">
        <v>304</v>
      </c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</row>
    <row r="610" spans="1:47" ht="15.75" customHeight="1">
      <c r="A610" s="56">
        <v>44477</v>
      </c>
      <c r="B610" s="57" t="s">
        <v>1102</v>
      </c>
      <c r="C610" s="46" t="s">
        <v>14</v>
      </c>
      <c r="D610" s="46" t="s">
        <v>237</v>
      </c>
      <c r="E610" s="58">
        <v>0</v>
      </c>
      <c r="F610" s="46" t="s">
        <v>418</v>
      </c>
      <c r="G610" s="46" t="s">
        <v>24</v>
      </c>
      <c r="H610" s="46" t="s">
        <v>12</v>
      </c>
      <c r="I610" s="46" t="s">
        <v>128</v>
      </c>
      <c r="J610" s="56">
        <v>44238</v>
      </c>
      <c r="K610" s="63" t="s">
        <v>295</v>
      </c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</row>
    <row r="611" spans="1:47" ht="15.75" customHeight="1">
      <c r="A611" s="60">
        <v>44480</v>
      </c>
      <c r="B611" s="87" t="s">
        <v>1070</v>
      </c>
      <c r="C611" s="62" t="s">
        <v>150</v>
      </c>
      <c r="D611" s="46" t="s">
        <v>861</v>
      </c>
      <c r="E611" s="86">
        <v>20000</v>
      </c>
      <c r="F611" s="46" t="s">
        <v>279</v>
      </c>
      <c r="G611" s="56" t="s">
        <v>11</v>
      </c>
      <c r="H611" s="56" t="s">
        <v>9</v>
      </c>
      <c r="I611" s="56" t="s">
        <v>10</v>
      </c>
      <c r="J611" s="56">
        <v>44263</v>
      </c>
      <c r="K611" s="59" t="s">
        <v>302</v>
      </c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</row>
    <row r="612" spans="1:47" ht="15.75" customHeight="1">
      <c r="A612" s="56">
        <v>44480</v>
      </c>
      <c r="B612" s="78" t="s">
        <v>1103</v>
      </c>
      <c r="C612" s="46" t="s">
        <v>150</v>
      </c>
      <c r="D612" s="46" t="s">
        <v>237</v>
      </c>
      <c r="E612" s="58">
        <v>489398.81</v>
      </c>
      <c r="F612" s="46" t="s">
        <v>247</v>
      </c>
      <c r="G612" s="56" t="s">
        <v>11</v>
      </c>
      <c r="H612" s="56" t="s">
        <v>9</v>
      </c>
      <c r="I612" s="56" t="s">
        <v>29</v>
      </c>
      <c r="J612" s="56">
        <v>44280</v>
      </c>
      <c r="K612" s="59" t="s">
        <v>295</v>
      </c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</row>
    <row r="613" spans="1:47" ht="15.75" customHeight="1">
      <c r="A613" s="60">
        <v>44482</v>
      </c>
      <c r="B613" s="61" t="s">
        <v>1104</v>
      </c>
      <c r="C613" s="62" t="s">
        <v>14</v>
      </c>
      <c r="D613" s="46" t="s">
        <v>54</v>
      </c>
      <c r="E613" s="58">
        <v>274363.67</v>
      </c>
      <c r="F613" s="46" t="s">
        <v>550</v>
      </c>
      <c r="G613" s="46" t="s">
        <v>11</v>
      </c>
      <c r="H613" s="46" t="s">
        <v>17</v>
      </c>
      <c r="I613" s="46" t="s">
        <v>551</v>
      </c>
      <c r="J613" s="56">
        <v>44356</v>
      </c>
      <c r="K613" s="63" t="s">
        <v>302</v>
      </c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</row>
    <row r="614" spans="1:47" ht="15.75" customHeight="1">
      <c r="A614" s="60">
        <v>44482</v>
      </c>
      <c r="B614" s="57" t="s">
        <v>1105</v>
      </c>
      <c r="C614" s="62" t="s">
        <v>14</v>
      </c>
      <c r="D614" s="46" t="s">
        <v>861</v>
      </c>
      <c r="E614" s="58">
        <v>150000</v>
      </c>
      <c r="F614" s="46" t="s">
        <v>445</v>
      </c>
      <c r="G614" s="46" t="s">
        <v>107</v>
      </c>
      <c r="H614" s="46" t="s">
        <v>12</v>
      </c>
      <c r="I614" s="46" t="s">
        <v>107</v>
      </c>
      <c r="J614" s="56">
        <v>44118</v>
      </c>
      <c r="K614" s="63" t="s">
        <v>304</v>
      </c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</row>
    <row r="615" spans="1:47" ht="15.75" customHeight="1">
      <c r="A615" s="56">
        <v>44482</v>
      </c>
      <c r="B615" s="57" t="s">
        <v>875</v>
      </c>
      <c r="C615" s="46" t="s">
        <v>150</v>
      </c>
      <c r="D615" s="46" t="s">
        <v>237</v>
      </c>
      <c r="E615" s="58">
        <v>15.64</v>
      </c>
      <c r="F615" s="46" t="s">
        <v>217</v>
      </c>
      <c r="G615" s="56" t="s">
        <v>107</v>
      </c>
      <c r="H615" s="56" t="s">
        <v>12</v>
      </c>
      <c r="I615" s="56" t="s">
        <v>153</v>
      </c>
      <c r="J615" s="56">
        <v>43559</v>
      </c>
      <c r="K615" s="59" t="s">
        <v>382</v>
      </c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</row>
    <row r="616" spans="1:47" ht="15.75" customHeight="1">
      <c r="A616" s="56">
        <v>44482</v>
      </c>
      <c r="B616" s="57" t="s">
        <v>895</v>
      </c>
      <c r="C616" s="46" t="s">
        <v>150</v>
      </c>
      <c r="D616" s="46" t="s">
        <v>237</v>
      </c>
      <c r="E616" s="58">
        <v>115.28</v>
      </c>
      <c r="F616" s="46" t="s">
        <v>211</v>
      </c>
      <c r="G616" s="56" t="s">
        <v>107</v>
      </c>
      <c r="H616" s="56" t="s">
        <v>12</v>
      </c>
      <c r="I616" s="56" t="s">
        <v>108</v>
      </c>
      <c r="J616" s="56">
        <v>43620</v>
      </c>
      <c r="K616" s="59" t="s">
        <v>304</v>
      </c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</row>
    <row r="617" spans="1:47" ht="15.75" customHeight="1">
      <c r="A617" s="56">
        <v>44482</v>
      </c>
      <c r="B617" s="57" t="s">
        <v>906</v>
      </c>
      <c r="C617" s="46" t="s">
        <v>150</v>
      </c>
      <c r="D617" s="46" t="s">
        <v>237</v>
      </c>
      <c r="E617" s="58">
        <v>13.08</v>
      </c>
      <c r="F617" s="46" t="s">
        <v>190</v>
      </c>
      <c r="G617" s="56" t="s">
        <v>107</v>
      </c>
      <c r="H617" s="56" t="s">
        <v>12</v>
      </c>
      <c r="I617" s="56" t="s">
        <v>108</v>
      </c>
      <c r="J617" s="56">
        <v>43675</v>
      </c>
      <c r="K617" s="59" t="s">
        <v>382</v>
      </c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</row>
    <row r="618" spans="1:47" ht="15.75" customHeight="1">
      <c r="A618" s="56">
        <v>44482</v>
      </c>
      <c r="B618" s="57" t="s">
        <v>1106</v>
      </c>
      <c r="C618" s="46" t="s">
        <v>150</v>
      </c>
      <c r="D618" s="46" t="s">
        <v>237</v>
      </c>
      <c r="E618" s="58"/>
      <c r="F618" s="46" t="s">
        <v>188</v>
      </c>
      <c r="G618" s="56" t="s">
        <v>107</v>
      </c>
      <c r="H618" s="56" t="s">
        <v>12</v>
      </c>
      <c r="I618" s="56" t="s">
        <v>107</v>
      </c>
      <c r="J618" s="56" t="s">
        <v>129</v>
      </c>
      <c r="K618" s="59" t="s">
        <v>298</v>
      </c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</row>
    <row r="619" spans="1:47" ht="15.75" customHeight="1">
      <c r="A619" s="56">
        <v>44482</v>
      </c>
      <c r="B619" s="57" t="s">
        <v>984</v>
      </c>
      <c r="C619" s="46" t="s">
        <v>150</v>
      </c>
      <c r="D619" s="46" t="s">
        <v>237</v>
      </c>
      <c r="E619" s="58">
        <v>3049.18</v>
      </c>
      <c r="F619" s="46" t="s">
        <v>183</v>
      </c>
      <c r="G619" s="56" t="s">
        <v>107</v>
      </c>
      <c r="H619" s="56" t="s">
        <v>12</v>
      </c>
      <c r="I619" s="56" t="s">
        <v>107</v>
      </c>
      <c r="J619" s="56">
        <v>44124</v>
      </c>
      <c r="K619" s="59" t="s">
        <v>298</v>
      </c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</row>
    <row r="620" spans="1:47" ht="15.75" customHeight="1">
      <c r="A620" s="56">
        <v>44482</v>
      </c>
      <c r="B620" s="57" t="s">
        <v>983</v>
      </c>
      <c r="C620" s="46" t="s">
        <v>150</v>
      </c>
      <c r="D620" s="46" t="s">
        <v>237</v>
      </c>
      <c r="E620" s="58">
        <v>693.98</v>
      </c>
      <c r="F620" s="46" t="s">
        <v>184</v>
      </c>
      <c r="G620" s="56" t="s">
        <v>107</v>
      </c>
      <c r="H620" s="56" t="s">
        <v>12</v>
      </c>
      <c r="I620" s="56" t="s">
        <v>107</v>
      </c>
      <c r="J620" s="56">
        <v>44118</v>
      </c>
      <c r="K620" s="59" t="s">
        <v>298</v>
      </c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</row>
    <row r="621" spans="1:47" ht="15.75" customHeight="1">
      <c r="A621" s="56">
        <v>44482</v>
      </c>
      <c r="B621" s="57" t="s">
        <v>1107</v>
      </c>
      <c r="C621" s="46" t="s">
        <v>150</v>
      </c>
      <c r="D621" s="46" t="s">
        <v>237</v>
      </c>
      <c r="E621" s="58"/>
      <c r="F621" s="46" t="s">
        <v>177</v>
      </c>
      <c r="G621" s="56" t="s">
        <v>107</v>
      </c>
      <c r="H621" s="56" t="s">
        <v>12</v>
      </c>
      <c r="I621" s="56" t="s">
        <v>153</v>
      </c>
      <c r="J621" s="56">
        <v>43609</v>
      </c>
      <c r="K621" s="59" t="s">
        <v>304</v>
      </c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</row>
    <row r="622" spans="1:47" ht="15.75" customHeight="1">
      <c r="A622" s="56">
        <v>44482</v>
      </c>
      <c r="B622" s="57" t="s">
        <v>1108</v>
      </c>
      <c r="C622" s="46" t="s">
        <v>150</v>
      </c>
      <c r="D622" s="46" t="s">
        <v>237</v>
      </c>
      <c r="E622" s="58"/>
      <c r="F622" s="46" t="s">
        <v>177</v>
      </c>
      <c r="G622" s="56" t="s">
        <v>107</v>
      </c>
      <c r="H622" s="56" t="s">
        <v>12</v>
      </c>
      <c r="I622" s="56" t="s">
        <v>153</v>
      </c>
      <c r="J622" s="56">
        <v>43609</v>
      </c>
      <c r="K622" s="59" t="s">
        <v>302</v>
      </c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</row>
    <row r="623" spans="1:47" ht="15.75" customHeight="1">
      <c r="A623" s="56">
        <v>44482</v>
      </c>
      <c r="B623" s="57" t="s">
        <v>1109</v>
      </c>
      <c r="C623" s="46" t="s">
        <v>150</v>
      </c>
      <c r="D623" s="46" t="s">
        <v>237</v>
      </c>
      <c r="E623" s="58"/>
      <c r="F623" s="46"/>
      <c r="G623" s="56"/>
      <c r="H623" s="56"/>
      <c r="I623" s="56"/>
      <c r="J623" s="56"/>
      <c r="K623" s="59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</row>
    <row r="624" spans="1:47" ht="15.75" customHeight="1">
      <c r="A624" s="56">
        <v>44482</v>
      </c>
      <c r="B624" s="57" t="s">
        <v>1110</v>
      </c>
      <c r="C624" s="46" t="s">
        <v>150</v>
      </c>
      <c r="D624" s="46" t="s">
        <v>237</v>
      </c>
      <c r="E624" s="58"/>
      <c r="F624" s="46" t="s">
        <v>158</v>
      </c>
      <c r="G624" s="56" t="s">
        <v>107</v>
      </c>
      <c r="H624" s="56" t="s">
        <v>12</v>
      </c>
      <c r="I624" s="56" t="s">
        <v>108</v>
      </c>
      <c r="J624" s="56" t="s">
        <v>129</v>
      </c>
      <c r="K624" s="59" t="s">
        <v>298</v>
      </c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</row>
    <row r="625" spans="1:47" ht="15.75" customHeight="1">
      <c r="A625" s="56">
        <v>44482</v>
      </c>
      <c r="B625" s="57" t="s">
        <v>955</v>
      </c>
      <c r="C625" s="46" t="s">
        <v>14</v>
      </c>
      <c r="D625" s="46" t="s">
        <v>237</v>
      </c>
      <c r="E625" s="58">
        <v>0</v>
      </c>
      <c r="F625" s="46" t="s">
        <v>545</v>
      </c>
      <c r="G625" s="46" t="s">
        <v>24</v>
      </c>
      <c r="H625" s="46" t="s">
        <v>12</v>
      </c>
      <c r="I625" s="46" t="s">
        <v>546</v>
      </c>
      <c r="J625" s="56">
        <v>44105</v>
      </c>
      <c r="K625" s="63" t="s">
        <v>304</v>
      </c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</row>
    <row r="626" spans="1:47" ht="15.75" customHeight="1">
      <c r="A626" s="60">
        <v>44483</v>
      </c>
      <c r="B626" s="89" t="s">
        <v>923</v>
      </c>
      <c r="C626" s="46" t="s">
        <v>150</v>
      </c>
      <c r="D626" s="46" t="s">
        <v>54</v>
      </c>
      <c r="E626" s="90">
        <v>73572.75</v>
      </c>
      <c r="F626" s="46" t="s">
        <v>208</v>
      </c>
      <c r="G626" s="56" t="s">
        <v>107</v>
      </c>
      <c r="H626" s="56" t="s">
        <v>12</v>
      </c>
      <c r="I626" s="56" t="s">
        <v>108</v>
      </c>
      <c r="J626" s="56">
        <v>43875</v>
      </c>
      <c r="K626" s="59" t="s">
        <v>302</v>
      </c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</row>
    <row r="627" spans="1:47" ht="15.75" customHeight="1">
      <c r="A627" s="60">
        <v>44483</v>
      </c>
      <c r="B627" s="89" t="s">
        <v>929</v>
      </c>
      <c r="C627" s="46" t="s">
        <v>150</v>
      </c>
      <c r="D627" s="46" t="s">
        <v>861</v>
      </c>
      <c r="E627" s="86">
        <v>10000</v>
      </c>
      <c r="F627" s="46" t="s">
        <v>103</v>
      </c>
      <c r="G627" s="56" t="s">
        <v>11</v>
      </c>
      <c r="H627" s="56" t="s">
        <v>9</v>
      </c>
      <c r="I627" s="56" t="s">
        <v>10</v>
      </c>
      <c r="J627" s="56">
        <v>44295</v>
      </c>
      <c r="K627" s="59" t="s">
        <v>301</v>
      </c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</row>
    <row r="628" spans="1:47" ht="15.75" customHeight="1">
      <c r="A628" s="60">
        <v>44484</v>
      </c>
      <c r="B628" s="72" t="s">
        <v>1084</v>
      </c>
      <c r="C628" s="62" t="s">
        <v>150</v>
      </c>
      <c r="D628" s="46" t="s">
        <v>237</v>
      </c>
      <c r="E628" s="86">
        <v>161212.56</v>
      </c>
      <c r="F628" s="46" t="s">
        <v>205</v>
      </c>
      <c r="G628" s="56" t="s">
        <v>11</v>
      </c>
      <c r="H628" s="56" t="s">
        <v>9</v>
      </c>
      <c r="I628" s="56" t="s">
        <v>29</v>
      </c>
      <c r="J628" s="56">
        <v>44319</v>
      </c>
      <c r="K628" s="59" t="s">
        <v>295</v>
      </c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</row>
    <row r="629" spans="1:47" ht="15.75" customHeight="1">
      <c r="A629" s="56">
        <v>44484</v>
      </c>
      <c r="B629" s="57" t="s">
        <v>1111</v>
      </c>
      <c r="C629" s="46" t="s">
        <v>150</v>
      </c>
      <c r="D629" s="46" t="s">
        <v>237</v>
      </c>
      <c r="E629" s="58"/>
      <c r="F629" s="46" t="s">
        <v>281</v>
      </c>
      <c r="G629" s="56" t="s">
        <v>107</v>
      </c>
      <c r="H629" s="56" t="s">
        <v>12</v>
      </c>
      <c r="I629" s="56" t="s">
        <v>153</v>
      </c>
      <c r="J629" s="56" t="s">
        <v>129</v>
      </c>
      <c r="K629" s="59" t="s">
        <v>302</v>
      </c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</row>
    <row r="630" spans="1:47" ht="15.75" customHeight="1">
      <c r="A630" s="56">
        <v>44484</v>
      </c>
      <c r="B630" s="57" t="s">
        <v>1112</v>
      </c>
      <c r="C630" s="46" t="s">
        <v>150</v>
      </c>
      <c r="D630" s="46" t="s">
        <v>237</v>
      </c>
      <c r="E630" s="58"/>
      <c r="F630" s="46" t="s">
        <v>281</v>
      </c>
      <c r="G630" s="56" t="s">
        <v>107</v>
      </c>
      <c r="H630" s="56" t="s">
        <v>12</v>
      </c>
      <c r="I630" s="56" t="s">
        <v>153</v>
      </c>
      <c r="J630" s="56" t="s">
        <v>129</v>
      </c>
      <c r="K630" s="59" t="s">
        <v>304</v>
      </c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</row>
    <row r="631" spans="1:47" ht="15.75" customHeight="1">
      <c r="A631" s="56">
        <v>44484</v>
      </c>
      <c r="B631" s="61" t="s">
        <v>959</v>
      </c>
      <c r="C631" s="46" t="s">
        <v>150</v>
      </c>
      <c r="D631" s="46" t="s">
        <v>237</v>
      </c>
      <c r="E631" s="58">
        <v>1.47</v>
      </c>
      <c r="F631" s="46" t="s">
        <v>269</v>
      </c>
      <c r="G631" s="56" t="s">
        <v>107</v>
      </c>
      <c r="H631" s="56" t="s">
        <v>12</v>
      </c>
      <c r="I631" s="56" t="s">
        <v>153</v>
      </c>
      <c r="J631" s="56">
        <v>43861</v>
      </c>
      <c r="K631" s="59" t="s">
        <v>302</v>
      </c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</row>
    <row r="632" spans="1:47" ht="15.75" customHeight="1">
      <c r="A632" s="56">
        <v>44484</v>
      </c>
      <c r="B632" s="57" t="s">
        <v>920</v>
      </c>
      <c r="C632" s="46" t="s">
        <v>150</v>
      </c>
      <c r="D632" s="46" t="s">
        <v>237</v>
      </c>
      <c r="E632" s="58">
        <v>2.93</v>
      </c>
      <c r="F632" s="46" t="s">
        <v>248</v>
      </c>
      <c r="G632" s="56" t="s">
        <v>107</v>
      </c>
      <c r="H632" s="56" t="s">
        <v>12</v>
      </c>
      <c r="I632" s="56" t="s">
        <v>153</v>
      </c>
      <c r="J632" s="56">
        <v>43622</v>
      </c>
      <c r="K632" s="59" t="s">
        <v>302</v>
      </c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</row>
    <row r="633" spans="1:47" ht="15.75" customHeight="1">
      <c r="A633" s="56">
        <v>44484</v>
      </c>
      <c r="B633" s="57" t="s">
        <v>1113</v>
      </c>
      <c r="C633" s="46" t="s">
        <v>150</v>
      </c>
      <c r="D633" s="46" t="s">
        <v>237</v>
      </c>
      <c r="E633" s="58"/>
      <c r="F633" s="46" t="s">
        <v>248</v>
      </c>
      <c r="G633" s="56" t="s">
        <v>107</v>
      </c>
      <c r="H633" s="56" t="s">
        <v>12</v>
      </c>
      <c r="I633" s="56" t="s">
        <v>153</v>
      </c>
      <c r="J633" s="56">
        <v>43622</v>
      </c>
      <c r="K633" s="59" t="s">
        <v>298</v>
      </c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</row>
    <row r="634" spans="1:47" ht="15.75" customHeight="1">
      <c r="A634" s="56">
        <v>44484</v>
      </c>
      <c r="B634" s="61" t="s">
        <v>1002</v>
      </c>
      <c r="C634" s="46" t="s">
        <v>150</v>
      </c>
      <c r="D634" s="46" t="s">
        <v>237</v>
      </c>
      <c r="E634" s="58">
        <v>0.22</v>
      </c>
      <c r="F634" s="46" t="s">
        <v>243</v>
      </c>
      <c r="G634" s="56" t="s">
        <v>107</v>
      </c>
      <c r="H634" s="56" t="s">
        <v>12</v>
      </c>
      <c r="I634" s="56" t="s">
        <v>107</v>
      </c>
      <c r="J634" s="56">
        <v>44036</v>
      </c>
      <c r="K634" s="59" t="s">
        <v>302</v>
      </c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</row>
    <row r="635" spans="1:47" ht="15.75" customHeight="1">
      <c r="A635" s="56">
        <v>44484</v>
      </c>
      <c r="B635" s="57" t="s">
        <v>1114</v>
      </c>
      <c r="C635" s="46" t="s">
        <v>150</v>
      </c>
      <c r="D635" s="46" t="s">
        <v>237</v>
      </c>
      <c r="E635" s="58"/>
      <c r="F635" s="46" t="s">
        <v>235</v>
      </c>
      <c r="G635" s="56" t="s">
        <v>107</v>
      </c>
      <c r="H635" s="56" t="s">
        <v>12</v>
      </c>
      <c r="I635" s="56" t="s">
        <v>153</v>
      </c>
      <c r="J635" s="56" t="s">
        <v>129</v>
      </c>
      <c r="K635" s="59" t="s">
        <v>302</v>
      </c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</row>
    <row r="636" spans="1:47" ht="15.75" customHeight="1">
      <c r="A636" s="56">
        <v>44484</v>
      </c>
      <c r="B636" s="61" t="s">
        <v>898</v>
      </c>
      <c r="C636" s="46" t="s">
        <v>150</v>
      </c>
      <c r="D636" s="46" t="s">
        <v>237</v>
      </c>
      <c r="E636" s="58">
        <v>146.69</v>
      </c>
      <c r="F636" s="46" t="s">
        <v>231</v>
      </c>
      <c r="G636" s="56" t="s">
        <v>107</v>
      </c>
      <c r="H636" s="56" t="s">
        <v>12</v>
      </c>
      <c r="I636" s="56" t="s">
        <v>108</v>
      </c>
      <c r="J636" s="56">
        <v>43732</v>
      </c>
      <c r="K636" s="59" t="s">
        <v>382</v>
      </c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</row>
    <row r="637" spans="1:47" ht="15.75" customHeight="1">
      <c r="A637" s="56">
        <v>44484</v>
      </c>
      <c r="B637" s="57" t="s">
        <v>1115</v>
      </c>
      <c r="C637" s="46" t="s">
        <v>150</v>
      </c>
      <c r="D637" s="46" t="s">
        <v>237</v>
      </c>
      <c r="E637" s="58">
        <v>78</v>
      </c>
      <c r="F637" s="46" t="s">
        <v>221</v>
      </c>
      <c r="G637" s="56" t="s">
        <v>107</v>
      </c>
      <c r="H637" s="56" t="s">
        <v>12</v>
      </c>
      <c r="I637" s="56" t="s">
        <v>153</v>
      </c>
      <c r="J637" s="56">
        <v>43853</v>
      </c>
      <c r="K637" s="59" t="s">
        <v>298</v>
      </c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</row>
    <row r="638" spans="1:47" ht="15.75" customHeight="1">
      <c r="A638" s="60">
        <v>44488</v>
      </c>
      <c r="B638" s="91" t="s">
        <v>1116</v>
      </c>
      <c r="C638" s="62" t="s">
        <v>14</v>
      </c>
      <c r="D638" s="46" t="s">
        <v>54</v>
      </c>
      <c r="E638" s="86">
        <v>44080.95</v>
      </c>
      <c r="F638" s="46" t="s">
        <v>393</v>
      </c>
      <c r="G638" s="46" t="s">
        <v>24</v>
      </c>
      <c r="H638" s="46" t="s">
        <v>12</v>
      </c>
      <c r="I638" s="46" t="s">
        <v>1117</v>
      </c>
      <c r="J638" s="56">
        <v>44537</v>
      </c>
      <c r="K638" s="63" t="s">
        <v>295</v>
      </c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</row>
    <row r="639" spans="1:47" ht="15.75" customHeight="1">
      <c r="A639" s="60">
        <v>44489</v>
      </c>
      <c r="B639" s="89" t="s">
        <v>1096</v>
      </c>
      <c r="C639" s="62" t="s">
        <v>150</v>
      </c>
      <c r="D639" s="46" t="s">
        <v>861</v>
      </c>
      <c r="E639" s="86">
        <v>70000</v>
      </c>
      <c r="F639" s="46" t="s">
        <v>186</v>
      </c>
      <c r="G639" s="56" t="s">
        <v>11</v>
      </c>
      <c r="H639" s="56" t="s">
        <v>9</v>
      </c>
      <c r="I639" s="56" t="s">
        <v>29</v>
      </c>
      <c r="J639" s="56">
        <v>44393</v>
      </c>
      <c r="K639" s="59" t="s">
        <v>405</v>
      </c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</row>
    <row r="640" spans="1:47" ht="15.75" customHeight="1">
      <c r="A640" s="60">
        <v>44489</v>
      </c>
      <c r="B640" s="89" t="s">
        <v>1118</v>
      </c>
      <c r="C640" s="62" t="s">
        <v>14</v>
      </c>
      <c r="D640" s="46" t="s">
        <v>861</v>
      </c>
      <c r="E640" s="86">
        <v>100000</v>
      </c>
      <c r="F640" s="92" t="s">
        <v>221</v>
      </c>
      <c r="G640" s="46" t="s">
        <v>107</v>
      </c>
      <c r="H640" s="46" t="s">
        <v>12</v>
      </c>
      <c r="I640" s="46" t="s">
        <v>107</v>
      </c>
      <c r="J640" s="46" t="s">
        <v>1119</v>
      </c>
      <c r="K640" s="63" t="s">
        <v>302</v>
      </c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</row>
    <row r="641" spans="1:47" ht="15.75" customHeight="1">
      <c r="A641" s="60">
        <v>44489</v>
      </c>
      <c r="B641" s="69" t="s">
        <v>1120</v>
      </c>
      <c r="C641" s="62" t="s">
        <v>14</v>
      </c>
      <c r="D641" s="46" t="s">
        <v>237</v>
      </c>
      <c r="E641" s="86">
        <v>90625.34</v>
      </c>
      <c r="F641" s="46" t="s">
        <v>516</v>
      </c>
      <c r="G641" s="46" t="s">
        <v>11</v>
      </c>
      <c r="H641" s="46" t="s">
        <v>17</v>
      </c>
      <c r="I641" s="46" t="s">
        <v>35</v>
      </c>
      <c r="J641" s="56">
        <v>44362</v>
      </c>
      <c r="K641" s="63" t="s">
        <v>295</v>
      </c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</row>
    <row r="642" spans="1:47" ht="15.75" customHeight="1">
      <c r="A642" s="60">
        <v>44490</v>
      </c>
      <c r="B642" s="91" t="s">
        <v>962</v>
      </c>
      <c r="C642" s="62" t="s">
        <v>14</v>
      </c>
      <c r="D642" s="46" t="s">
        <v>861</v>
      </c>
      <c r="E642" s="86">
        <v>16000</v>
      </c>
      <c r="F642" s="46" t="s">
        <v>520</v>
      </c>
      <c r="G642" s="46" t="s">
        <v>24</v>
      </c>
      <c r="H642" s="46" t="s">
        <v>12</v>
      </c>
      <c r="I642" s="46" t="s">
        <v>434</v>
      </c>
      <c r="J642" s="56">
        <v>44180</v>
      </c>
      <c r="K642" s="63" t="s">
        <v>298</v>
      </c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</row>
    <row r="643" spans="1:47" ht="15.75" customHeight="1">
      <c r="A643" s="60">
        <v>44490</v>
      </c>
      <c r="B643" s="93" t="s">
        <v>1121</v>
      </c>
      <c r="C643" s="62" t="s">
        <v>14</v>
      </c>
      <c r="D643" s="46" t="s">
        <v>237</v>
      </c>
      <c r="E643" s="86">
        <v>661576.63</v>
      </c>
      <c r="F643" s="46" t="s">
        <v>562</v>
      </c>
      <c r="G643" s="46" t="s">
        <v>24</v>
      </c>
      <c r="H643" s="46" t="s">
        <v>12</v>
      </c>
      <c r="I643" s="46" t="s">
        <v>368</v>
      </c>
      <c r="J643" s="56">
        <v>44490</v>
      </c>
      <c r="K643" s="63" t="s">
        <v>295</v>
      </c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</row>
    <row r="644" spans="1:47" ht="15.75" customHeight="1">
      <c r="A644" s="60">
        <v>44490</v>
      </c>
      <c r="B644" s="57" t="s">
        <v>936</v>
      </c>
      <c r="C644" s="62" t="s">
        <v>150</v>
      </c>
      <c r="D644" s="46" t="s">
        <v>237</v>
      </c>
      <c r="E644" s="86">
        <v>1915</v>
      </c>
      <c r="F644" s="46" t="s">
        <v>169</v>
      </c>
      <c r="G644" s="56" t="s">
        <v>107</v>
      </c>
      <c r="H644" s="56" t="s">
        <v>12</v>
      </c>
      <c r="I644" s="56" t="s">
        <v>108</v>
      </c>
      <c r="J644" s="56">
        <v>43725</v>
      </c>
      <c r="K644" s="59" t="s">
        <v>382</v>
      </c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</row>
    <row r="645" spans="1:47" ht="15.75" customHeight="1">
      <c r="A645" s="60">
        <v>44490</v>
      </c>
      <c r="B645" s="69" t="s">
        <v>883</v>
      </c>
      <c r="C645" s="62" t="s">
        <v>150</v>
      </c>
      <c r="D645" s="46" t="s">
        <v>861</v>
      </c>
      <c r="E645" s="86">
        <v>3000</v>
      </c>
      <c r="F645" s="46" t="s">
        <v>113</v>
      </c>
      <c r="G645" s="56" t="s">
        <v>107</v>
      </c>
      <c r="H645" s="56" t="s">
        <v>12</v>
      </c>
      <c r="I645" s="56" t="s">
        <v>108</v>
      </c>
      <c r="J645" s="56">
        <v>43894</v>
      </c>
      <c r="K645" s="59" t="s">
        <v>302</v>
      </c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</row>
    <row r="646" spans="1:47" ht="15.75" customHeight="1">
      <c r="A646" s="60">
        <v>44494</v>
      </c>
      <c r="B646" s="94" t="s">
        <v>1122</v>
      </c>
      <c r="C646" s="62" t="s">
        <v>14</v>
      </c>
      <c r="D646" s="46" t="s">
        <v>237</v>
      </c>
      <c r="E646" s="86">
        <v>792665.02</v>
      </c>
      <c r="F646" s="46" t="s">
        <v>427</v>
      </c>
      <c r="G646" s="46" t="s">
        <v>24</v>
      </c>
      <c r="H646" s="46" t="s">
        <v>12</v>
      </c>
      <c r="I646" s="46" t="s">
        <v>365</v>
      </c>
      <c r="J646" s="56">
        <v>44368</v>
      </c>
      <c r="K646" s="63" t="s">
        <v>304</v>
      </c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</row>
    <row r="647" spans="1:47" ht="15.75" customHeight="1">
      <c r="A647" s="60">
        <v>44494</v>
      </c>
      <c r="B647" s="69" t="s">
        <v>929</v>
      </c>
      <c r="C647" s="62" t="s">
        <v>150</v>
      </c>
      <c r="D647" s="46" t="s">
        <v>861</v>
      </c>
      <c r="E647" s="86">
        <v>10000</v>
      </c>
      <c r="F647" s="46" t="s">
        <v>103</v>
      </c>
      <c r="G647" s="56" t="s">
        <v>11</v>
      </c>
      <c r="H647" s="56" t="s">
        <v>9</v>
      </c>
      <c r="I647" s="56" t="s">
        <v>10</v>
      </c>
      <c r="J647" s="56">
        <v>44295</v>
      </c>
      <c r="K647" s="59" t="s">
        <v>301</v>
      </c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</row>
    <row r="648" spans="1:47" ht="15.75" customHeight="1">
      <c r="A648" s="60">
        <v>44494</v>
      </c>
      <c r="B648" s="69" t="s">
        <v>869</v>
      </c>
      <c r="C648" s="62" t="s">
        <v>150</v>
      </c>
      <c r="D648" s="46" t="s">
        <v>861</v>
      </c>
      <c r="E648" s="86">
        <v>12000</v>
      </c>
      <c r="F648" s="46" t="s">
        <v>101</v>
      </c>
      <c r="G648" s="56" t="s">
        <v>107</v>
      </c>
      <c r="H648" s="56" t="s">
        <v>12</v>
      </c>
      <c r="I648" s="56" t="s">
        <v>108</v>
      </c>
      <c r="J648" s="56">
        <v>43605</v>
      </c>
      <c r="K648" s="59" t="s">
        <v>302</v>
      </c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</row>
    <row r="649" spans="1:47" ht="15.75" customHeight="1">
      <c r="A649" s="60">
        <v>44494</v>
      </c>
      <c r="B649" s="69" t="s">
        <v>1123</v>
      </c>
      <c r="C649" s="62" t="s">
        <v>150</v>
      </c>
      <c r="D649" s="46" t="s">
        <v>861</v>
      </c>
      <c r="E649" s="86">
        <v>33000</v>
      </c>
      <c r="F649" s="46" t="s">
        <v>48</v>
      </c>
      <c r="G649" s="46" t="s">
        <v>11</v>
      </c>
      <c r="H649" s="46" t="s">
        <v>9</v>
      </c>
      <c r="I649" s="46" t="s">
        <v>98</v>
      </c>
      <c r="J649" s="56">
        <v>44383</v>
      </c>
      <c r="K649" s="63" t="s">
        <v>302</v>
      </c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</row>
    <row r="650" spans="1:47" ht="15.75" customHeight="1">
      <c r="A650" s="60">
        <v>44494</v>
      </c>
      <c r="B650" s="69" t="s">
        <v>995</v>
      </c>
      <c r="C650" s="62" t="s">
        <v>150</v>
      </c>
      <c r="D650" s="46" t="s">
        <v>861</v>
      </c>
      <c r="E650" s="86">
        <v>10000</v>
      </c>
      <c r="F650" s="46" t="s">
        <v>114</v>
      </c>
      <c r="G650" s="56" t="s">
        <v>11</v>
      </c>
      <c r="H650" s="56" t="s">
        <v>9</v>
      </c>
      <c r="I650" s="56" t="s">
        <v>29</v>
      </c>
      <c r="J650" s="56">
        <v>44319</v>
      </c>
      <c r="K650" s="59" t="s">
        <v>298</v>
      </c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</row>
    <row r="651" spans="1:47" ht="15.75" customHeight="1">
      <c r="A651" s="60">
        <v>44495</v>
      </c>
      <c r="B651" s="93" t="s">
        <v>1124</v>
      </c>
      <c r="C651" s="62" t="s">
        <v>14</v>
      </c>
      <c r="D651" s="46" t="s">
        <v>237</v>
      </c>
      <c r="E651" s="86">
        <v>295388.82</v>
      </c>
      <c r="F651" s="46" t="s">
        <v>462</v>
      </c>
      <c r="G651" s="46" t="s">
        <v>24</v>
      </c>
      <c r="H651" s="46" t="s">
        <v>12</v>
      </c>
      <c r="I651" s="46" t="s">
        <v>355</v>
      </c>
      <c r="J651" s="56">
        <v>44111</v>
      </c>
      <c r="K651" s="63" t="s">
        <v>295</v>
      </c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</row>
    <row r="652" spans="1:47" ht="15.75" customHeight="1">
      <c r="A652" s="60">
        <v>44495</v>
      </c>
      <c r="B652" s="69" t="s">
        <v>985</v>
      </c>
      <c r="C652" s="62" t="s">
        <v>150</v>
      </c>
      <c r="D652" s="46" t="s">
        <v>861</v>
      </c>
      <c r="E652" s="86">
        <v>14000</v>
      </c>
      <c r="F652" s="46" t="s">
        <v>84</v>
      </c>
      <c r="G652" s="56" t="s">
        <v>11</v>
      </c>
      <c r="H652" s="56" t="s">
        <v>9</v>
      </c>
      <c r="I652" s="56" t="s">
        <v>10</v>
      </c>
      <c r="J652" s="56">
        <v>44280</v>
      </c>
      <c r="K652" s="59" t="s">
        <v>298</v>
      </c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</row>
    <row r="653" spans="1:47" ht="15.75" customHeight="1">
      <c r="A653" s="60">
        <v>44497</v>
      </c>
      <c r="B653" s="69" t="s">
        <v>994</v>
      </c>
      <c r="C653" s="62" t="s">
        <v>150</v>
      </c>
      <c r="D653" s="46" t="s">
        <v>861</v>
      </c>
      <c r="E653" s="86">
        <v>40000</v>
      </c>
      <c r="F653" s="46" t="s">
        <v>218</v>
      </c>
      <c r="G653" s="56" t="s">
        <v>11</v>
      </c>
      <c r="H653" s="56" t="s">
        <v>9</v>
      </c>
      <c r="I653" s="56" t="s">
        <v>98</v>
      </c>
      <c r="J653" s="56">
        <v>44266</v>
      </c>
      <c r="K653" s="59" t="s">
        <v>302</v>
      </c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</row>
    <row r="654" spans="1:47" ht="15.75" customHeight="1">
      <c r="A654" s="60">
        <v>44497</v>
      </c>
      <c r="B654" s="93" t="s">
        <v>1125</v>
      </c>
      <c r="C654" s="62" t="s">
        <v>14</v>
      </c>
      <c r="D654" s="46" t="s">
        <v>237</v>
      </c>
      <c r="E654" s="86">
        <v>142605.94</v>
      </c>
      <c r="F654" s="46" t="s">
        <v>537</v>
      </c>
      <c r="G654" s="46" t="s">
        <v>11</v>
      </c>
      <c r="H654" s="46" t="s">
        <v>12</v>
      </c>
      <c r="I654" s="46" t="s">
        <v>538</v>
      </c>
      <c r="J654" s="56">
        <v>44271</v>
      </c>
      <c r="K654" s="63" t="s">
        <v>309</v>
      </c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</row>
    <row r="655" spans="1:47" ht="15.75" customHeight="1">
      <c r="A655" s="60">
        <v>44497</v>
      </c>
      <c r="B655" s="93" t="s">
        <v>1126</v>
      </c>
      <c r="C655" s="62" t="s">
        <v>14</v>
      </c>
      <c r="D655" s="46" t="s">
        <v>237</v>
      </c>
      <c r="E655" s="86">
        <v>148678.48000000001</v>
      </c>
      <c r="F655" s="46" t="s">
        <v>537</v>
      </c>
      <c r="G655" s="46" t="s">
        <v>11</v>
      </c>
      <c r="H655" s="46" t="s">
        <v>12</v>
      </c>
      <c r="I655" s="46" t="s">
        <v>297</v>
      </c>
      <c r="J655" s="56">
        <v>44272</v>
      </c>
      <c r="K655" s="63" t="s">
        <v>302</v>
      </c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</row>
    <row r="656" spans="1:47" ht="15.75" customHeight="1">
      <c r="A656" s="60">
        <v>44498</v>
      </c>
      <c r="B656" s="69" t="s">
        <v>975</v>
      </c>
      <c r="C656" s="62" t="s">
        <v>150</v>
      </c>
      <c r="D656" s="46" t="s">
        <v>861</v>
      </c>
      <c r="E656" s="86">
        <v>20000</v>
      </c>
      <c r="F656" s="46" t="s">
        <v>195</v>
      </c>
      <c r="G656" s="56" t="s">
        <v>11</v>
      </c>
      <c r="H656" s="56" t="s">
        <v>9</v>
      </c>
      <c r="I656" s="56" t="s">
        <v>29</v>
      </c>
      <c r="J656" s="56">
        <v>44298</v>
      </c>
      <c r="K656" s="59" t="s">
        <v>298</v>
      </c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</row>
    <row r="657" spans="1:47" ht="15.75" customHeight="1">
      <c r="A657" s="60">
        <v>44498</v>
      </c>
      <c r="B657" s="69" t="s">
        <v>996</v>
      </c>
      <c r="C657" s="62" t="s">
        <v>150</v>
      </c>
      <c r="D657" s="46" t="s">
        <v>861</v>
      </c>
      <c r="E657" s="86">
        <v>30000</v>
      </c>
      <c r="F657" s="46" t="s">
        <v>87</v>
      </c>
      <c r="G657" s="56" t="s">
        <v>11</v>
      </c>
      <c r="H657" s="56" t="s">
        <v>9</v>
      </c>
      <c r="I657" s="56" t="s">
        <v>10</v>
      </c>
      <c r="J657" s="56">
        <v>44280</v>
      </c>
      <c r="K657" s="59" t="s">
        <v>295</v>
      </c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</row>
    <row r="658" spans="1:47" ht="15.75" customHeight="1">
      <c r="A658" s="60">
        <v>44501</v>
      </c>
      <c r="B658" s="69" t="s">
        <v>899</v>
      </c>
      <c r="C658" s="62" t="s">
        <v>150</v>
      </c>
      <c r="D658" s="46" t="s">
        <v>861</v>
      </c>
      <c r="E658" s="86">
        <v>200000</v>
      </c>
      <c r="F658" s="46" t="s">
        <v>233</v>
      </c>
      <c r="G658" s="56" t="s">
        <v>107</v>
      </c>
      <c r="H658" s="56" t="s">
        <v>12</v>
      </c>
      <c r="I658" s="56" t="s">
        <v>108</v>
      </c>
      <c r="J658" s="56">
        <v>43620</v>
      </c>
      <c r="K658" s="59" t="s">
        <v>298</v>
      </c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</row>
    <row r="659" spans="1:47" ht="15.75" customHeight="1">
      <c r="A659" s="60">
        <v>44501</v>
      </c>
      <c r="B659" s="69" t="s">
        <v>975</v>
      </c>
      <c r="C659" s="62" t="s">
        <v>150</v>
      </c>
      <c r="D659" s="46" t="s">
        <v>861</v>
      </c>
      <c r="E659" s="86">
        <v>3000</v>
      </c>
      <c r="F659" s="46" t="s">
        <v>195</v>
      </c>
      <c r="G659" s="56" t="s">
        <v>11</v>
      </c>
      <c r="H659" s="56" t="s">
        <v>9</v>
      </c>
      <c r="I659" s="56" t="s">
        <v>29</v>
      </c>
      <c r="J659" s="56">
        <v>44298</v>
      </c>
      <c r="K659" s="59" t="s">
        <v>298</v>
      </c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</row>
    <row r="660" spans="1:47" ht="15.75" customHeight="1">
      <c r="A660" s="60">
        <v>44501</v>
      </c>
      <c r="B660" s="69" t="s">
        <v>928</v>
      </c>
      <c r="C660" s="62" t="s">
        <v>150</v>
      </c>
      <c r="D660" s="46" t="s">
        <v>861</v>
      </c>
      <c r="E660" s="86">
        <v>40000</v>
      </c>
      <c r="F660" s="46" t="s">
        <v>53</v>
      </c>
      <c r="G660" s="56" t="s">
        <v>11</v>
      </c>
      <c r="H660" s="56" t="s">
        <v>9</v>
      </c>
      <c r="I660" s="56" t="s">
        <v>10</v>
      </c>
      <c r="J660" s="56">
        <v>44321</v>
      </c>
      <c r="K660" s="59" t="s">
        <v>298</v>
      </c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</row>
    <row r="661" spans="1:47" ht="15.75" customHeight="1">
      <c r="A661" s="60">
        <v>44503</v>
      </c>
      <c r="B661" s="69" t="s">
        <v>979</v>
      </c>
      <c r="C661" s="62" t="s">
        <v>150</v>
      </c>
      <c r="D661" s="46" t="s">
        <v>861</v>
      </c>
      <c r="E661" s="86">
        <v>30000</v>
      </c>
      <c r="F661" s="46" t="s">
        <v>264</v>
      </c>
      <c r="G661" s="56" t="s">
        <v>11</v>
      </c>
      <c r="H661" s="56" t="s">
        <v>9</v>
      </c>
      <c r="I661" s="56" t="s">
        <v>29</v>
      </c>
      <c r="J661" s="56">
        <v>44279</v>
      </c>
      <c r="K661" s="59" t="s">
        <v>298</v>
      </c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</row>
    <row r="662" spans="1:47" ht="15.75" customHeight="1">
      <c r="A662" s="60">
        <v>44503</v>
      </c>
      <c r="B662" s="91" t="s">
        <v>932</v>
      </c>
      <c r="C662" s="62" t="s">
        <v>14</v>
      </c>
      <c r="D662" s="46" t="s">
        <v>861</v>
      </c>
      <c r="E662" s="86">
        <v>5000</v>
      </c>
      <c r="F662" s="46" t="s">
        <v>415</v>
      </c>
      <c r="G662" s="46" t="s">
        <v>24</v>
      </c>
      <c r="H662" s="46" t="s">
        <v>12</v>
      </c>
      <c r="I662" s="46" t="s">
        <v>316</v>
      </c>
      <c r="J662" s="56">
        <v>44263</v>
      </c>
      <c r="K662" s="63" t="s">
        <v>298</v>
      </c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</row>
    <row r="663" spans="1:47" ht="15.75" customHeight="1">
      <c r="A663" s="60">
        <v>44504</v>
      </c>
      <c r="B663" s="95" t="s">
        <v>1010</v>
      </c>
      <c r="C663" s="62" t="s">
        <v>14</v>
      </c>
      <c r="D663" s="46" t="s">
        <v>861</v>
      </c>
      <c r="E663" s="86">
        <v>12284.53</v>
      </c>
      <c r="F663" s="46" t="s">
        <v>317</v>
      </c>
      <c r="G663" s="46" t="s">
        <v>24</v>
      </c>
      <c r="H663" s="46" t="s">
        <v>12</v>
      </c>
      <c r="I663" s="46" t="s">
        <v>1127</v>
      </c>
      <c r="J663" s="56">
        <v>44180</v>
      </c>
      <c r="K663" s="63" t="s">
        <v>302</v>
      </c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</row>
    <row r="664" spans="1:47" ht="15.75" customHeight="1">
      <c r="A664" s="60">
        <v>44504</v>
      </c>
      <c r="B664" s="93" t="s">
        <v>1128</v>
      </c>
      <c r="C664" s="62" t="s">
        <v>14</v>
      </c>
      <c r="D664" s="46" t="s">
        <v>237</v>
      </c>
      <c r="E664" s="86">
        <v>282779.84000000003</v>
      </c>
      <c r="F664" s="46" t="s">
        <v>416</v>
      </c>
      <c r="G664" s="46" t="s">
        <v>24</v>
      </c>
      <c r="H664" s="46" t="s">
        <v>12</v>
      </c>
      <c r="I664" s="46" t="s">
        <v>128</v>
      </c>
      <c r="J664" s="56">
        <v>44238</v>
      </c>
      <c r="K664" s="63" t="s">
        <v>295</v>
      </c>
      <c r="L664" s="55"/>
      <c r="M664" s="96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</row>
    <row r="665" spans="1:47" ht="15.75" customHeight="1">
      <c r="A665" s="60">
        <v>44504</v>
      </c>
      <c r="B665" s="89" t="s">
        <v>1070</v>
      </c>
      <c r="C665" s="62" t="s">
        <v>150</v>
      </c>
      <c r="D665" s="46" t="s">
        <v>861</v>
      </c>
      <c r="E665" s="86">
        <v>25000</v>
      </c>
      <c r="F665" s="46" t="s">
        <v>279</v>
      </c>
      <c r="G665" s="56" t="s">
        <v>11</v>
      </c>
      <c r="H665" s="56" t="s">
        <v>9</v>
      </c>
      <c r="I665" s="56" t="s">
        <v>10</v>
      </c>
      <c r="J665" s="56">
        <v>44263</v>
      </c>
      <c r="K665" s="59" t="s">
        <v>302</v>
      </c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</row>
    <row r="666" spans="1:47" ht="15.75" customHeight="1">
      <c r="A666" s="60">
        <v>44504</v>
      </c>
      <c r="B666" s="72" t="s">
        <v>1029</v>
      </c>
      <c r="C666" s="62" t="s">
        <v>150</v>
      </c>
      <c r="D666" s="46" t="s">
        <v>861</v>
      </c>
      <c r="E666" s="86">
        <v>50000</v>
      </c>
      <c r="F666" s="46" t="s">
        <v>105</v>
      </c>
      <c r="G666" s="56" t="s">
        <v>11</v>
      </c>
      <c r="H666" s="56" t="s">
        <v>9</v>
      </c>
      <c r="I666" s="56" t="s">
        <v>10</v>
      </c>
      <c r="J666" s="56">
        <v>44263</v>
      </c>
      <c r="K666" s="59" t="s">
        <v>295</v>
      </c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</row>
    <row r="667" spans="1:47" ht="15.75" customHeight="1">
      <c r="A667" s="60">
        <v>44504</v>
      </c>
      <c r="B667" s="72" t="s">
        <v>1129</v>
      </c>
      <c r="C667" s="62" t="s">
        <v>150</v>
      </c>
      <c r="D667" s="46" t="s">
        <v>861</v>
      </c>
      <c r="E667" s="86">
        <v>10000</v>
      </c>
      <c r="F667" s="46" t="s">
        <v>242</v>
      </c>
      <c r="G667" s="56" t="s">
        <v>11</v>
      </c>
      <c r="H667" s="56" t="s">
        <v>9</v>
      </c>
      <c r="I667" s="56" t="s">
        <v>10</v>
      </c>
      <c r="J667" s="56">
        <v>44323</v>
      </c>
      <c r="K667" s="59" t="s">
        <v>309</v>
      </c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</row>
    <row r="668" spans="1:47" ht="15.75" customHeight="1">
      <c r="A668" s="60">
        <v>44505</v>
      </c>
      <c r="B668" s="91" t="s">
        <v>1130</v>
      </c>
      <c r="C668" s="62" t="s">
        <v>14</v>
      </c>
      <c r="D668" s="46" t="s">
        <v>861</v>
      </c>
      <c r="E668" s="86">
        <v>18000</v>
      </c>
      <c r="F668" s="46" t="s">
        <v>261</v>
      </c>
      <c r="G668" s="46" t="s">
        <v>107</v>
      </c>
      <c r="H668" s="46" t="s">
        <v>12</v>
      </c>
      <c r="I668" s="46" t="s">
        <v>107</v>
      </c>
      <c r="J668" s="56">
        <v>44151</v>
      </c>
      <c r="K668" s="63" t="s">
        <v>298</v>
      </c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</row>
    <row r="669" spans="1:47" ht="15.75" customHeight="1">
      <c r="A669" s="60">
        <v>44505</v>
      </c>
      <c r="B669" s="89" t="s">
        <v>1131</v>
      </c>
      <c r="C669" s="62" t="s">
        <v>150</v>
      </c>
      <c r="D669" s="46" t="s">
        <v>54</v>
      </c>
      <c r="E669" s="71">
        <v>52493.45</v>
      </c>
      <c r="F669" s="46" t="s">
        <v>277</v>
      </c>
      <c r="G669" s="56" t="s">
        <v>11</v>
      </c>
      <c r="H669" s="56" t="s">
        <v>9</v>
      </c>
      <c r="I669" s="56" t="s">
        <v>10</v>
      </c>
      <c r="J669" s="56">
        <v>44411</v>
      </c>
      <c r="K669" s="59" t="s">
        <v>298</v>
      </c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</row>
    <row r="670" spans="1:47" ht="15.75" customHeight="1">
      <c r="A670" s="60">
        <v>44505</v>
      </c>
      <c r="B670" s="89" t="s">
        <v>868</v>
      </c>
      <c r="C670" s="62" t="s">
        <v>150</v>
      </c>
      <c r="D670" s="46" t="s">
        <v>861</v>
      </c>
      <c r="E670" s="86">
        <v>200000</v>
      </c>
      <c r="F670" s="46" t="s">
        <v>292</v>
      </c>
      <c r="G670" s="56" t="s">
        <v>107</v>
      </c>
      <c r="H670" s="56" t="s">
        <v>12</v>
      </c>
      <c r="I670" s="56" t="s">
        <v>108</v>
      </c>
      <c r="J670" s="56">
        <v>43567</v>
      </c>
      <c r="K670" s="59" t="s">
        <v>298</v>
      </c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</row>
    <row r="671" spans="1:47" ht="15.75" customHeight="1">
      <c r="A671" s="60">
        <v>44505</v>
      </c>
      <c r="B671" s="97" t="s">
        <v>1132</v>
      </c>
      <c r="C671" s="62" t="s">
        <v>150</v>
      </c>
      <c r="D671" s="46" t="s">
        <v>237</v>
      </c>
      <c r="E671" s="86">
        <v>386234.9</v>
      </c>
      <c r="F671" s="46" t="s">
        <v>207</v>
      </c>
      <c r="G671" s="56" t="s">
        <v>107</v>
      </c>
      <c r="H671" s="56" t="s">
        <v>12</v>
      </c>
      <c r="I671" s="56" t="s">
        <v>108</v>
      </c>
      <c r="J671" s="56">
        <v>43692</v>
      </c>
      <c r="K671" s="59" t="s">
        <v>382</v>
      </c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</row>
    <row r="672" spans="1:47" ht="15.75" customHeight="1">
      <c r="A672" s="60">
        <v>44509</v>
      </c>
      <c r="B672" s="89" t="s">
        <v>1087</v>
      </c>
      <c r="C672" s="62" t="s">
        <v>150</v>
      </c>
      <c r="D672" s="46" t="s">
        <v>54</v>
      </c>
      <c r="E672" s="86">
        <v>1035319</v>
      </c>
      <c r="F672" s="46" t="s">
        <v>215</v>
      </c>
      <c r="G672" s="56" t="s">
        <v>11</v>
      </c>
      <c r="H672" s="56" t="s">
        <v>9</v>
      </c>
      <c r="I672" s="56" t="s">
        <v>10</v>
      </c>
      <c r="J672" s="56">
        <v>44319</v>
      </c>
      <c r="K672" s="59" t="s">
        <v>298</v>
      </c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</row>
    <row r="673" spans="1:47" ht="15.75" customHeight="1">
      <c r="A673" s="60">
        <v>44509</v>
      </c>
      <c r="B673" s="89" t="s">
        <v>1133</v>
      </c>
      <c r="C673" s="62" t="s">
        <v>150</v>
      </c>
      <c r="D673" s="46" t="s">
        <v>861</v>
      </c>
      <c r="E673" s="86">
        <v>359568.24</v>
      </c>
      <c r="F673" s="46" t="s">
        <v>151</v>
      </c>
      <c r="G673" s="56" t="s">
        <v>107</v>
      </c>
      <c r="H673" s="56" t="s">
        <v>12</v>
      </c>
      <c r="I673" s="56" t="s">
        <v>108</v>
      </c>
      <c r="J673" s="56">
        <v>43570</v>
      </c>
      <c r="K673" s="59" t="s">
        <v>302</v>
      </c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</row>
    <row r="674" spans="1:47" ht="15.75" customHeight="1">
      <c r="A674" s="60">
        <v>44509</v>
      </c>
      <c r="B674" s="69" t="s">
        <v>867</v>
      </c>
      <c r="C674" s="62" t="s">
        <v>150</v>
      </c>
      <c r="D674" s="46" t="s">
        <v>861</v>
      </c>
      <c r="E674" s="70">
        <v>10000</v>
      </c>
      <c r="F674" s="46" t="s">
        <v>206</v>
      </c>
      <c r="G674" s="56" t="s">
        <v>107</v>
      </c>
      <c r="H674" s="56" t="s">
        <v>12</v>
      </c>
      <c r="I674" s="56" t="s">
        <v>108</v>
      </c>
      <c r="J674" s="56">
        <v>43703</v>
      </c>
      <c r="K674" s="59" t="s">
        <v>382</v>
      </c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</row>
    <row r="675" spans="1:47" ht="15.75" customHeight="1">
      <c r="A675" s="60">
        <v>44509</v>
      </c>
      <c r="B675" s="97" t="s">
        <v>1134</v>
      </c>
      <c r="C675" s="62" t="s">
        <v>150</v>
      </c>
      <c r="D675" s="46" t="s">
        <v>237</v>
      </c>
      <c r="E675" s="70">
        <v>103527.44</v>
      </c>
      <c r="F675" s="46" t="s">
        <v>157</v>
      </c>
      <c r="G675" s="56" t="s">
        <v>107</v>
      </c>
      <c r="H675" s="56" t="s">
        <v>12</v>
      </c>
      <c r="I675" s="56" t="s">
        <v>153</v>
      </c>
      <c r="J675" s="56">
        <v>43633</v>
      </c>
      <c r="K675" s="59" t="s">
        <v>302</v>
      </c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</row>
    <row r="676" spans="1:47" ht="15.75" customHeight="1">
      <c r="A676" s="60">
        <v>44510</v>
      </c>
      <c r="B676" s="91" t="s">
        <v>962</v>
      </c>
      <c r="C676" s="62" t="s">
        <v>14</v>
      </c>
      <c r="D676" s="46" t="s">
        <v>861</v>
      </c>
      <c r="E676" s="70">
        <v>20000</v>
      </c>
      <c r="F676" s="46" t="s">
        <v>520</v>
      </c>
      <c r="G676" s="46" t="s">
        <v>24</v>
      </c>
      <c r="H676" s="46" t="s">
        <v>12</v>
      </c>
      <c r="I676" s="46" t="s">
        <v>434</v>
      </c>
      <c r="J676" s="56">
        <v>44180</v>
      </c>
      <c r="K676" s="63" t="s">
        <v>298</v>
      </c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</row>
    <row r="677" spans="1:47" ht="15.75" customHeight="1">
      <c r="A677" s="60">
        <v>44510</v>
      </c>
      <c r="B677" s="69" t="s">
        <v>929</v>
      </c>
      <c r="C677" s="62" t="s">
        <v>150</v>
      </c>
      <c r="D677" s="46" t="s">
        <v>861</v>
      </c>
      <c r="E677" s="70">
        <v>10000</v>
      </c>
      <c r="F677" s="46" t="s">
        <v>103</v>
      </c>
      <c r="G677" s="56" t="s">
        <v>11</v>
      </c>
      <c r="H677" s="56" t="s">
        <v>9</v>
      </c>
      <c r="I677" s="56" t="s">
        <v>10</v>
      </c>
      <c r="J677" s="56">
        <v>44295</v>
      </c>
      <c r="K677" s="59" t="s">
        <v>301</v>
      </c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</row>
    <row r="678" spans="1:47" ht="15.75" customHeight="1">
      <c r="A678" s="60">
        <v>44511</v>
      </c>
      <c r="B678" s="69" t="s">
        <v>997</v>
      </c>
      <c r="C678" s="62" t="s">
        <v>150</v>
      </c>
      <c r="D678" s="46" t="s">
        <v>54</v>
      </c>
      <c r="E678" s="98">
        <v>52575.43</v>
      </c>
      <c r="F678" s="46" t="s">
        <v>73</v>
      </c>
      <c r="G678" s="56" t="s">
        <v>11</v>
      </c>
      <c r="H678" s="56" t="s">
        <v>9</v>
      </c>
      <c r="I678" s="56" t="s">
        <v>10</v>
      </c>
      <c r="J678" s="56">
        <v>44322</v>
      </c>
      <c r="K678" s="59" t="s">
        <v>298</v>
      </c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</row>
    <row r="679" spans="1:47" ht="15.75" customHeight="1">
      <c r="A679" s="60">
        <v>44511</v>
      </c>
      <c r="B679" s="69" t="s">
        <v>1099</v>
      </c>
      <c r="C679" s="62" t="s">
        <v>150</v>
      </c>
      <c r="D679" s="46" t="s">
        <v>861</v>
      </c>
      <c r="E679" s="71">
        <v>6843.64</v>
      </c>
      <c r="F679" s="46" t="s">
        <v>40</v>
      </c>
      <c r="G679" s="56" t="s">
        <v>11</v>
      </c>
      <c r="H679" s="56" t="s">
        <v>9</v>
      </c>
      <c r="I679" s="56" t="s">
        <v>10</v>
      </c>
      <c r="J679" s="56">
        <v>44421</v>
      </c>
      <c r="K679" s="59" t="s">
        <v>298</v>
      </c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</row>
    <row r="680" spans="1:47" ht="15.75" customHeight="1">
      <c r="A680" s="60">
        <v>44512</v>
      </c>
      <c r="B680" s="93" t="s">
        <v>1135</v>
      </c>
      <c r="C680" s="62" t="s">
        <v>14</v>
      </c>
      <c r="D680" s="46" t="s">
        <v>237</v>
      </c>
      <c r="E680" s="70">
        <v>124370.77</v>
      </c>
      <c r="F680" s="46" t="s">
        <v>94</v>
      </c>
      <c r="G680" s="46" t="s">
        <v>24</v>
      </c>
      <c r="H680" s="46" t="s">
        <v>12</v>
      </c>
      <c r="I680" s="46" t="s">
        <v>571</v>
      </c>
      <c r="J680" s="56">
        <v>44209</v>
      </c>
      <c r="K680" s="63" t="s">
        <v>309</v>
      </c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</row>
    <row r="681" spans="1:47" ht="15.75" customHeight="1">
      <c r="A681" s="60">
        <v>44512</v>
      </c>
      <c r="B681" s="69" t="s">
        <v>993</v>
      </c>
      <c r="C681" s="62" t="s">
        <v>150</v>
      </c>
      <c r="D681" s="46" t="s">
        <v>861</v>
      </c>
      <c r="E681" s="70">
        <v>3000</v>
      </c>
      <c r="F681" s="46" t="s">
        <v>239</v>
      </c>
      <c r="G681" s="56" t="s">
        <v>11</v>
      </c>
      <c r="H681" s="56" t="s">
        <v>9</v>
      </c>
      <c r="I681" s="56" t="s">
        <v>29</v>
      </c>
      <c r="J681" s="56">
        <v>44322</v>
      </c>
      <c r="K681" s="59" t="s">
        <v>298</v>
      </c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</row>
    <row r="682" spans="1:47" ht="15.75" customHeight="1">
      <c r="A682" s="60">
        <v>44512</v>
      </c>
      <c r="B682" s="99" t="s">
        <v>1131</v>
      </c>
      <c r="C682" s="62" t="s">
        <v>150</v>
      </c>
      <c r="D682" s="46" t="s">
        <v>237</v>
      </c>
      <c r="E682" s="70">
        <v>0</v>
      </c>
      <c r="F682" s="46" t="s">
        <v>277</v>
      </c>
      <c r="G682" s="56" t="s">
        <v>11</v>
      </c>
      <c r="H682" s="56" t="s">
        <v>9</v>
      </c>
      <c r="I682" s="56" t="s">
        <v>10</v>
      </c>
      <c r="J682" s="56">
        <v>44411</v>
      </c>
      <c r="K682" s="59" t="s">
        <v>298</v>
      </c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</row>
    <row r="683" spans="1:47" ht="15.75" customHeight="1">
      <c r="A683" s="60">
        <v>44512</v>
      </c>
      <c r="B683" s="99" t="s">
        <v>997</v>
      </c>
      <c r="C683" s="62" t="s">
        <v>150</v>
      </c>
      <c r="D683" s="46" t="s">
        <v>237</v>
      </c>
      <c r="E683" s="98">
        <v>52575.43</v>
      </c>
      <c r="F683" s="46" t="s">
        <v>73</v>
      </c>
      <c r="G683" s="56" t="s">
        <v>11</v>
      </c>
      <c r="H683" s="56" t="s">
        <v>9</v>
      </c>
      <c r="I683" s="56" t="s">
        <v>10</v>
      </c>
      <c r="J683" s="56">
        <v>44322</v>
      </c>
      <c r="K683" s="59" t="s">
        <v>298</v>
      </c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</row>
    <row r="684" spans="1:47" ht="15.75" customHeight="1">
      <c r="A684" s="60">
        <v>44512</v>
      </c>
      <c r="B684" s="94" t="s">
        <v>1101</v>
      </c>
      <c r="C684" s="62" t="s">
        <v>150</v>
      </c>
      <c r="D684" s="46" t="s">
        <v>237</v>
      </c>
      <c r="E684" s="98">
        <v>3940.3</v>
      </c>
      <c r="F684" s="46" t="s">
        <v>203</v>
      </c>
      <c r="G684" s="56" t="s">
        <v>11</v>
      </c>
      <c r="H684" s="56" t="s">
        <v>9</v>
      </c>
      <c r="I684" s="56" t="s">
        <v>10</v>
      </c>
      <c r="J684" s="56">
        <v>44333</v>
      </c>
      <c r="K684" s="59" t="s">
        <v>298</v>
      </c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</row>
    <row r="685" spans="1:47" ht="15.75" customHeight="1">
      <c r="A685" s="60">
        <v>44512</v>
      </c>
      <c r="B685" s="97" t="s">
        <v>1088</v>
      </c>
      <c r="C685" s="62" t="s">
        <v>150</v>
      </c>
      <c r="D685" s="46" t="s">
        <v>237</v>
      </c>
      <c r="E685" s="70">
        <v>2041.36</v>
      </c>
      <c r="F685" s="46" t="s">
        <v>167</v>
      </c>
      <c r="G685" s="56" t="s">
        <v>11</v>
      </c>
      <c r="H685" s="56" t="s">
        <v>9</v>
      </c>
      <c r="I685" s="56" t="s">
        <v>10</v>
      </c>
      <c r="J685" s="56">
        <v>44280</v>
      </c>
      <c r="K685" s="59" t="s">
        <v>304</v>
      </c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</row>
    <row r="686" spans="1:47" ht="15.75" customHeight="1">
      <c r="A686" s="60">
        <v>44516</v>
      </c>
      <c r="B686" s="69" t="s">
        <v>979</v>
      </c>
      <c r="C686" s="62" t="s">
        <v>150</v>
      </c>
      <c r="D686" s="46" t="s">
        <v>861</v>
      </c>
      <c r="E686" s="70">
        <v>54835.4</v>
      </c>
      <c r="F686" s="46" t="s">
        <v>264</v>
      </c>
      <c r="G686" s="56" t="s">
        <v>11</v>
      </c>
      <c r="H686" s="56" t="s">
        <v>9</v>
      </c>
      <c r="I686" s="56" t="s">
        <v>29</v>
      </c>
      <c r="J686" s="56">
        <v>44279</v>
      </c>
      <c r="K686" s="59" t="s">
        <v>298</v>
      </c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</row>
    <row r="687" spans="1:47" ht="15.75" customHeight="1">
      <c r="A687" s="60">
        <v>44516</v>
      </c>
      <c r="B687" s="69" t="s">
        <v>1024</v>
      </c>
      <c r="C687" s="62" t="s">
        <v>150</v>
      </c>
      <c r="D687" s="46" t="s">
        <v>861</v>
      </c>
      <c r="E687" s="70">
        <v>100000</v>
      </c>
      <c r="F687" s="46" t="s">
        <v>154</v>
      </c>
      <c r="G687" s="56" t="s">
        <v>11</v>
      </c>
      <c r="H687" s="56" t="s">
        <v>9</v>
      </c>
      <c r="I687" s="56" t="s">
        <v>29</v>
      </c>
      <c r="J687" s="56">
        <v>44321</v>
      </c>
      <c r="K687" s="59" t="s">
        <v>302</v>
      </c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</row>
    <row r="688" spans="1:47" ht="15.75" customHeight="1">
      <c r="A688" s="60">
        <v>44516</v>
      </c>
      <c r="B688" s="91" t="s">
        <v>1136</v>
      </c>
      <c r="C688" s="62" t="s">
        <v>14</v>
      </c>
      <c r="D688" s="46" t="s">
        <v>237</v>
      </c>
      <c r="E688" s="70">
        <v>290532.13</v>
      </c>
      <c r="F688" s="46" t="s">
        <v>528</v>
      </c>
      <c r="G688" s="46" t="s">
        <v>11</v>
      </c>
      <c r="H688" s="46" t="s">
        <v>17</v>
      </c>
      <c r="I688" s="46" t="s">
        <v>35</v>
      </c>
      <c r="J688" s="56">
        <v>44259</v>
      </c>
      <c r="K688" s="63" t="s">
        <v>304</v>
      </c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</row>
    <row r="689" spans="1:47" ht="15.75" customHeight="1">
      <c r="A689" s="60">
        <v>44516</v>
      </c>
      <c r="B689" s="72" t="s">
        <v>932</v>
      </c>
      <c r="C689" s="62" t="s">
        <v>14</v>
      </c>
      <c r="D689" s="46" t="s">
        <v>861</v>
      </c>
      <c r="E689" s="70">
        <v>5000</v>
      </c>
      <c r="F689" s="46" t="s">
        <v>415</v>
      </c>
      <c r="G689" s="46" t="s">
        <v>24</v>
      </c>
      <c r="H689" s="46" t="s">
        <v>12</v>
      </c>
      <c r="I689" s="46" t="s">
        <v>316</v>
      </c>
      <c r="J689" s="56">
        <v>44263</v>
      </c>
      <c r="K689" s="63" t="s">
        <v>295</v>
      </c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</row>
    <row r="690" spans="1:47" ht="15.75" customHeight="1">
      <c r="A690" s="60">
        <v>44516</v>
      </c>
      <c r="B690" s="94" t="s">
        <v>1137</v>
      </c>
      <c r="C690" s="62" t="s">
        <v>14</v>
      </c>
      <c r="D690" s="46" t="s">
        <v>237</v>
      </c>
      <c r="E690" s="70">
        <v>93114.82</v>
      </c>
      <c r="F690" s="46" t="s">
        <v>412</v>
      </c>
      <c r="G690" s="46" t="s">
        <v>24</v>
      </c>
      <c r="H690" s="46" t="s">
        <v>12</v>
      </c>
      <c r="I690" s="46" t="s">
        <v>413</v>
      </c>
      <c r="J690" s="56">
        <v>44407</v>
      </c>
      <c r="K690" s="59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</row>
    <row r="691" spans="1:47" ht="15.75" customHeight="1">
      <c r="A691" s="60">
        <v>44516</v>
      </c>
      <c r="B691" s="69" t="s">
        <v>1138</v>
      </c>
      <c r="C691" s="62" t="s">
        <v>14</v>
      </c>
      <c r="D691" s="46" t="s">
        <v>861</v>
      </c>
      <c r="E691" s="70">
        <v>48809.84</v>
      </c>
      <c r="F691" s="46" t="s">
        <v>544</v>
      </c>
      <c r="G691" s="46" t="s">
        <v>11</v>
      </c>
      <c r="H691" s="46" t="s">
        <v>17</v>
      </c>
      <c r="I691" s="46" t="s">
        <v>551</v>
      </c>
      <c r="J691" s="56">
        <v>44340</v>
      </c>
      <c r="K691" s="63" t="s">
        <v>304</v>
      </c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</row>
    <row r="692" spans="1:47" ht="15.75" customHeight="1">
      <c r="A692" s="60">
        <v>44517</v>
      </c>
      <c r="B692" s="95" t="s">
        <v>1139</v>
      </c>
      <c r="C692" s="62" t="s">
        <v>14</v>
      </c>
      <c r="D692" s="46" t="s">
        <v>861</v>
      </c>
      <c r="E692" s="70">
        <v>10000</v>
      </c>
      <c r="F692" s="46" t="s">
        <v>384</v>
      </c>
      <c r="G692" s="46" t="s">
        <v>11</v>
      </c>
      <c r="H692" s="46" t="s">
        <v>12</v>
      </c>
      <c r="I692" s="46" t="s">
        <v>125</v>
      </c>
      <c r="J692" s="56">
        <v>44399</v>
      </c>
      <c r="K692" s="63" t="s">
        <v>298</v>
      </c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</row>
    <row r="693" spans="1:47" ht="15.75" customHeight="1">
      <c r="A693" s="60">
        <v>44517</v>
      </c>
      <c r="B693" s="97" t="s">
        <v>1001</v>
      </c>
      <c r="C693" s="62" t="s">
        <v>150</v>
      </c>
      <c r="D693" s="46" t="s">
        <v>237</v>
      </c>
      <c r="E693" s="70">
        <v>370651.89</v>
      </c>
      <c r="F693" s="46" t="s">
        <v>209</v>
      </c>
      <c r="G693" s="56" t="s">
        <v>107</v>
      </c>
      <c r="H693" s="56" t="s">
        <v>12</v>
      </c>
      <c r="I693" s="56" t="s">
        <v>153</v>
      </c>
      <c r="J693" s="56">
        <v>43752</v>
      </c>
      <c r="K693" s="59" t="s">
        <v>298</v>
      </c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</row>
    <row r="694" spans="1:47" ht="15.75" customHeight="1">
      <c r="A694" s="60">
        <v>44517</v>
      </c>
      <c r="B694" s="69" t="s">
        <v>995</v>
      </c>
      <c r="C694" s="62" t="s">
        <v>150</v>
      </c>
      <c r="D694" s="46" t="s">
        <v>861</v>
      </c>
      <c r="E694" s="70">
        <v>10000</v>
      </c>
      <c r="F694" s="46" t="s">
        <v>114</v>
      </c>
      <c r="G694" s="56" t="s">
        <v>11</v>
      </c>
      <c r="H694" s="56" t="s">
        <v>9</v>
      </c>
      <c r="I694" s="56" t="s">
        <v>29</v>
      </c>
      <c r="J694" s="56">
        <v>44319</v>
      </c>
      <c r="K694" s="59" t="s">
        <v>298</v>
      </c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</row>
    <row r="695" spans="1:47" ht="15.75" customHeight="1">
      <c r="A695" s="60">
        <v>44518</v>
      </c>
      <c r="B695" s="69" t="s">
        <v>1140</v>
      </c>
      <c r="C695" s="62" t="s">
        <v>14</v>
      </c>
      <c r="D695" s="46" t="s">
        <v>861</v>
      </c>
      <c r="E695" s="70">
        <v>25000</v>
      </c>
      <c r="F695" s="46" t="s">
        <v>1141</v>
      </c>
      <c r="G695" s="37" t="s">
        <v>107</v>
      </c>
      <c r="H695" s="100" t="s">
        <v>12</v>
      </c>
      <c r="I695" s="100" t="s">
        <v>107</v>
      </c>
      <c r="J695" s="101">
        <v>44452</v>
      </c>
      <c r="K695" s="63" t="s">
        <v>298</v>
      </c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</row>
    <row r="696" spans="1:47" ht="15.75" customHeight="1">
      <c r="A696" s="60">
        <v>44518</v>
      </c>
      <c r="B696" s="69" t="s">
        <v>916</v>
      </c>
      <c r="C696" s="62" t="s">
        <v>150</v>
      </c>
      <c r="D696" s="46" t="s">
        <v>54</v>
      </c>
      <c r="E696" s="70">
        <v>282315.92</v>
      </c>
      <c r="F696" s="46" t="s">
        <v>173</v>
      </c>
      <c r="G696" s="56" t="s">
        <v>107</v>
      </c>
      <c r="H696" s="56" t="s">
        <v>12</v>
      </c>
      <c r="I696" s="56" t="s">
        <v>108</v>
      </c>
      <c r="J696" s="56">
        <v>43707</v>
      </c>
      <c r="K696" s="59" t="s">
        <v>304</v>
      </c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</row>
    <row r="697" spans="1:47" ht="15.75" customHeight="1">
      <c r="A697" s="60">
        <v>44518</v>
      </c>
      <c r="B697" s="102" t="s">
        <v>1142</v>
      </c>
      <c r="C697" s="62" t="s">
        <v>150</v>
      </c>
      <c r="D697" s="46" t="s">
        <v>54</v>
      </c>
      <c r="E697" s="70">
        <v>33813.279999999999</v>
      </c>
      <c r="F697" s="46" t="s">
        <v>170</v>
      </c>
      <c r="G697" s="56" t="s">
        <v>107</v>
      </c>
      <c r="H697" s="56" t="s">
        <v>12</v>
      </c>
      <c r="I697" s="56" t="s">
        <v>108</v>
      </c>
      <c r="J697" s="56">
        <v>43769</v>
      </c>
      <c r="K697" s="59" t="s">
        <v>302</v>
      </c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</row>
    <row r="698" spans="1:47" ht="15.75" customHeight="1">
      <c r="A698" s="60">
        <v>44518</v>
      </c>
      <c r="B698" s="69" t="s">
        <v>1004</v>
      </c>
      <c r="C698" s="62" t="s">
        <v>150</v>
      </c>
      <c r="D698" s="46" t="s">
        <v>54</v>
      </c>
      <c r="E698" s="70">
        <v>90662.42</v>
      </c>
      <c r="F698" s="46" t="s">
        <v>156</v>
      </c>
      <c r="G698" s="56" t="s">
        <v>107</v>
      </c>
      <c r="H698" s="56" t="s">
        <v>12</v>
      </c>
      <c r="I698" s="56" t="s">
        <v>108</v>
      </c>
      <c r="J698" s="56">
        <v>43753</v>
      </c>
      <c r="K698" s="59" t="s">
        <v>298</v>
      </c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</row>
    <row r="699" spans="1:47" ht="15.75" customHeight="1">
      <c r="A699" s="60">
        <v>44518</v>
      </c>
      <c r="B699" s="57" t="s">
        <v>869</v>
      </c>
      <c r="C699" s="62" t="s">
        <v>150</v>
      </c>
      <c r="D699" s="46" t="s">
        <v>861</v>
      </c>
      <c r="E699" s="70">
        <v>2000</v>
      </c>
      <c r="F699" s="46" t="s">
        <v>101</v>
      </c>
      <c r="G699" s="56" t="s">
        <v>107</v>
      </c>
      <c r="H699" s="56" t="s">
        <v>12</v>
      </c>
      <c r="I699" s="56" t="s">
        <v>108</v>
      </c>
      <c r="J699" s="56">
        <v>43605</v>
      </c>
      <c r="K699" s="59" t="s">
        <v>302</v>
      </c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</row>
    <row r="700" spans="1:47" ht="15.75" customHeight="1">
      <c r="A700" s="60">
        <v>44518</v>
      </c>
      <c r="B700" s="93" t="s">
        <v>1143</v>
      </c>
      <c r="C700" s="62" t="s">
        <v>14</v>
      </c>
      <c r="D700" s="46" t="s">
        <v>237</v>
      </c>
      <c r="E700" s="70">
        <v>121773.16</v>
      </c>
      <c r="F700" s="46" t="s">
        <v>422</v>
      </c>
      <c r="G700" s="46" t="s">
        <v>11</v>
      </c>
      <c r="H700" s="46" t="s">
        <v>12</v>
      </c>
      <c r="I700" s="46" t="s">
        <v>297</v>
      </c>
      <c r="J700" s="56">
        <v>44231</v>
      </c>
      <c r="K700" s="63" t="s">
        <v>302</v>
      </c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</row>
    <row r="701" spans="1:47" ht="15.75" customHeight="1">
      <c r="A701" s="60">
        <v>44518</v>
      </c>
      <c r="B701" s="95" t="s">
        <v>1144</v>
      </c>
      <c r="C701" s="62" t="s">
        <v>14</v>
      </c>
      <c r="D701" s="46" t="s">
        <v>861</v>
      </c>
      <c r="E701" s="70">
        <v>31579.5</v>
      </c>
      <c r="F701" s="46" t="s">
        <v>425</v>
      </c>
      <c r="G701" s="46" t="s">
        <v>11</v>
      </c>
      <c r="H701" s="46" t="s">
        <v>17</v>
      </c>
      <c r="I701" s="46" t="s">
        <v>35</v>
      </c>
      <c r="J701" s="56">
        <v>44413</v>
      </c>
      <c r="K701" s="63" t="s">
        <v>304</v>
      </c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</row>
    <row r="702" spans="1:47" ht="15.75" customHeight="1">
      <c r="A702" s="60">
        <v>44519</v>
      </c>
      <c r="B702" s="89" t="s">
        <v>992</v>
      </c>
      <c r="C702" s="62" t="s">
        <v>150</v>
      </c>
      <c r="D702" s="46" t="s">
        <v>861</v>
      </c>
      <c r="E702" s="70">
        <v>313886.59000000003</v>
      </c>
      <c r="F702" s="46" t="s">
        <v>164</v>
      </c>
      <c r="G702" s="56" t="s">
        <v>11</v>
      </c>
      <c r="H702" s="56" t="s">
        <v>9</v>
      </c>
      <c r="I702" s="56" t="s">
        <v>29</v>
      </c>
      <c r="J702" s="56">
        <v>44295</v>
      </c>
      <c r="K702" s="59" t="s">
        <v>295</v>
      </c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</row>
    <row r="703" spans="1:47" ht="15.75" customHeight="1">
      <c r="A703" s="60">
        <v>44519</v>
      </c>
      <c r="B703" s="93" t="s">
        <v>917</v>
      </c>
      <c r="C703" s="62" t="s">
        <v>14</v>
      </c>
      <c r="D703" s="46" t="s">
        <v>237</v>
      </c>
      <c r="E703" s="70">
        <v>251499.32</v>
      </c>
      <c r="F703" s="46" t="s">
        <v>435</v>
      </c>
      <c r="G703" s="37" t="s">
        <v>107</v>
      </c>
      <c r="H703" s="100" t="s">
        <v>12</v>
      </c>
      <c r="I703" s="100" t="s">
        <v>107</v>
      </c>
      <c r="J703" s="101">
        <v>43901</v>
      </c>
      <c r="K703" s="63" t="s">
        <v>295</v>
      </c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</row>
    <row r="704" spans="1:47" ht="15.75" customHeight="1">
      <c r="A704" s="60">
        <v>44522</v>
      </c>
      <c r="B704" s="89" t="s">
        <v>1070</v>
      </c>
      <c r="C704" s="62" t="s">
        <v>150</v>
      </c>
      <c r="D704" s="46" t="s">
        <v>861</v>
      </c>
      <c r="E704" s="70">
        <v>20000</v>
      </c>
      <c r="F704" s="46" t="s">
        <v>279</v>
      </c>
      <c r="G704" s="56" t="s">
        <v>11</v>
      </c>
      <c r="H704" s="56" t="s">
        <v>9</v>
      </c>
      <c r="I704" s="56" t="s">
        <v>10</v>
      </c>
      <c r="J704" s="56">
        <v>44263</v>
      </c>
      <c r="K704" s="59" t="s">
        <v>302</v>
      </c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</row>
    <row r="705" spans="1:47" ht="15.75" customHeight="1">
      <c r="A705" s="60">
        <v>44522</v>
      </c>
      <c r="B705" s="89" t="s">
        <v>1087</v>
      </c>
      <c r="C705" s="62" t="s">
        <v>150</v>
      </c>
      <c r="D705" s="46" t="s">
        <v>237</v>
      </c>
      <c r="E705" s="70">
        <v>261364.56</v>
      </c>
      <c r="F705" s="46" t="s">
        <v>215</v>
      </c>
      <c r="G705" s="56" t="s">
        <v>11</v>
      </c>
      <c r="H705" s="56" t="s">
        <v>9</v>
      </c>
      <c r="I705" s="56" t="s">
        <v>10</v>
      </c>
      <c r="J705" s="56">
        <v>44319</v>
      </c>
      <c r="K705" s="59" t="s">
        <v>298</v>
      </c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</row>
    <row r="706" spans="1:47" ht="15.75" customHeight="1">
      <c r="A706" s="60">
        <v>44522</v>
      </c>
      <c r="B706" s="69" t="s">
        <v>975</v>
      </c>
      <c r="C706" s="62" t="s">
        <v>150</v>
      </c>
      <c r="D706" s="46" t="s">
        <v>861</v>
      </c>
      <c r="E706" s="70">
        <v>80000</v>
      </c>
      <c r="F706" s="46" t="s">
        <v>195</v>
      </c>
      <c r="G706" s="56" t="s">
        <v>11</v>
      </c>
      <c r="H706" s="56" t="s">
        <v>9</v>
      </c>
      <c r="I706" s="56" t="s">
        <v>29</v>
      </c>
      <c r="J706" s="56">
        <v>44298</v>
      </c>
      <c r="K706" s="59" t="s">
        <v>298</v>
      </c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</row>
    <row r="707" spans="1:47" ht="15.75" customHeight="1">
      <c r="A707" s="60">
        <v>44522</v>
      </c>
      <c r="B707" s="89" t="s">
        <v>1042</v>
      </c>
      <c r="C707" s="62" t="s">
        <v>150</v>
      </c>
      <c r="D707" s="46" t="s">
        <v>861</v>
      </c>
      <c r="E707" s="70">
        <v>500</v>
      </c>
      <c r="F707" s="46" t="s">
        <v>39</v>
      </c>
      <c r="G707" s="56" t="s">
        <v>11</v>
      </c>
      <c r="H707" s="56" t="s">
        <v>9</v>
      </c>
      <c r="I707" s="56" t="s">
        <v>10</v>
      </c>
      <c r="J707" s="56">
        <v>44263</v>
      </c>
      <c r="K707" s="59" t="s">
        <v>298</v>
      </c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</row>
    <row r="708" spans="1:47" ht="15.75" customHeight="1">
      <c r="A708" s="60">
        <v>44522</v>
      </c>
      <c r="B708" s="69" t="s">
        <v>1145</v>
      </c>
      <c r="C708" s="62" t="s">
        <v>150</v>
      </c>
      <c r="D708" s="46" t="s">
        <v>861</v>
      </c>
      <c r="E708" s="70">
        <v>650000</v>
      </c>
      <c r="F708" s="46" t="s">
        <v>105</v>
      </c>
      <c r="G708" s="56" t="s">
        <v>11</v>
      </c>
      <c r="H708" s="56" t="s">
        <v>9</v>
      </c>
      <c r="I708" s="56" t="s">
        <v>10</v>
      </c>
      <c r="J708" s="56">
        <v>44390</v>
      </c>
      <c r="K708" s="59" t="s">
        <v>298</v>
      </c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</row>
    <row r="709" spans="1:47" ht="15.75" customHeight="1">
      <c r="A709" s="60">
        <v>44522</v>
      </c>
      <c r="B709" s="89" t="s">
        <v>1071</v>
      </c>
      <c r="C709" s="62" t="s">
        <v>150</v>
      </c>
      <c r="D709" s="46" t="s">
        <v>861</v>
      </c>
      <c r="E709" s="70">
        <v>1250000</v>
      </c>
      <c r="F709" s="46" t="s">
        <v>34</v>
      </c>
      <c r="G709" s="56" t="s">
        <v>11</v>
      </c>
      <c r="H709" s="56" t="s">
        <v>9</v>
      </c>
      <c r="I709" s="56" t="s">
        <v>10</v>
      </c>
      <c r="J709" s="56">
        <v>44266</v>
      </c>
      <c r="K709" s="59" t="s">
        <v>295</v>
      </c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</row>
    <row r="710" spans="1:47" ht="15.75" customHeight="1">
      <c r="A710" s="60">
        <v>44523</v>
      </c>
      <c r="B710" s="69" t="s">
        <v>1146</v>
      </c>
      <c r="C710" s="62" t="s">
        <v>14</v>
      </c>
      <c r="D710" s="46" t="s">
        <v>861</v>
      </c>
      <c r="E710" s="70">
        <v>20000</v>
      </c>
      <c r="F710" s="46" t="s">
        <v>1147</v>
      </c>
      <c r="G710" s="37" t="s">
        <v>11</v>
      </c>
      <c r="H710" s="100" t="s">
        <v>17</v>
      </c>
      <c r="I710" s="100" t="s">
        <v>35</v>
      </c>
      <c r="J710" s="101">
        <v>44287</v>
      </c>
      <c r="K710" s="63" t="s">
        <v>298</v>
      </c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</row>
    <row r="711" spans="1:47" ht="15.75" customHeight="1">
      <c r="A711" s="60">
        <v>44523</v>
      </c>
      <c r="B711" s="69" t="s">
        <v>1000</v>
      </c>
      <c r="C711" s="62" t="s">
        <v>14</v>
      </c>
      <c r="D711" s="46" t="s">
        <v>54</v>
      </c>
      <c r="E711" s="70">
        <v>114197.45</v>
      </c>
      <c r="F711" s="46" t="s">
        <v>1148</v>
      </c>
      <c r="G711" s="37" t="s">
        <v>11</v>
      </c>
      <c r="H711" s="100" t="s">
        <v>17</v>
      </c>
      <c r="I711" s="100" t="s">
        <v>35</v>
      </c>
      <c r="J711" s="101">
        <v>44298</v>
      </c>
      <c r="K711" s="46" t="s">
        <v>302</v>
      </c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</row>
    <row r="712" spans="1:47" ht="15.75" customHeight="1">
      <c r="A712" s="60">
        <v>44523</v>
      </c>
      <c r="B712" s="69" t="s">
        <v>929</v>
      </c>
      <c r="C712" s="62" t="s">
        <v>150</v>
      </c>
      <c r="D712" s="46" t="s">
        <v>861</v>
      </c>
      <c r="E712" s="70">
        <v>35000</v>
      </c>
      <c r="F712" s="46" t="s">
        <v>103</v>
      </c>
      <c r="G712" s="56" t="s">
        <v>11</v>
      </c>
      <c r="H712" s="56" t="s">
        <v>9</v>
      </c>
      <c r="I712" s="56" t="s">
        <v>10</v>
      </c>
      <c r="J712" s="56">
        <v>44295</v>
      </c>
      <c r="K712" s="56" t="s">
        <v>301</v>
      </c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</row>
    <row r="713" spans="1:47" ht="15.75" customHeight="1">
      <c r="A713" s="60">
        <v>44524</v>
      </c>
      <c r="B713" s="69" t="s">
        <v>1149</v>
      </c>
      <c r="C713" s="62" t="s">
        <v>14</v>
      </c>
      <c r="D713" s="46" t="s">
        <v>237</v>
      </c>
      <c r="E713" s="70">
        <v>130920.08</v>
      </c>
      <c r="F713" s="46" t="s">
        <v>444</v>
      </c>
      <c r="G713" s="46" t="s">
        <v>11</v>
      </c>
      <c r="H713" s="46" t="s">
        <v>17</v>
      </c>
      <c r="I713" s="46" t="s">
        <v>35</v>
      </c>
      <c r="J713" s="56">
        <v>44252</v>
      </c>
      <c r="K713" s="46" t="s">
        <v>304</v>
      </c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</row>
    <row r="714" spans="1:47" ht="15.75" customHeight="1">
      <c r="A714" s="60">
        <v>44524</v>
      </c>
      <c r="B714" s="69" t="s">
        <v>1150</v>
      </c>
      <c r="C714" s="62" t="s">
        <v>14</v>
      </c>
      <c r="D714" s="46" t="s">
        <v>237</v>
      </c>
      <c r="E714" s="70">
        <v>98719.08</v>
      </c>
      <c r="F714" s="46" t="s">
        <v>341</v>
      </c>
      <c r="G714" s="46" t="s">
        <v>107</v>
      </c>
      <c r="H714" s="46" t="s">
        <v>12</v>
      </c>
      <c r="I714" s="46" t="s">
        <v>107</v>
      </c>
      <c r="J714" s="56">
        <v>44390</v>
      </c>
      <c r="K714" s="46" t="s">
        <v>298</v>
      </c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</row>
    <row r="715" spans="1:47" ht="15.75" customHeight="1">
      <c r="A715" s="60">
        <v>44524</v>
      </c>
      <c r="B715" s="89" t="s">
        <v>985</v>
      </c>
      <c r="C715" s="62" t="s">
        <v>150</v>
      </c>
      <c r="D715" s="46" t="s">
        <v>861</v>
      </c>
      <c r="E715" s="70">
        <v>59000</v>
      </c>
      <c r="F715" s="46" t="s">
        <v>84</v>
      </c>
      <c r="G715" s="56" t="s">
        <v>11</v>
      </c>
      <c r="H715" s="56" t="s">
        <v>9</v>
      </c>
      <c r="I715" s="56" t="s">
        <v>10</v>
      </c>
      <c r="J715" s="56">
        <v>44280</v>
      </c>
      <c r="K715" s="56" t="s">
        <v>298</v>
      </c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</row>
    <row r="716" spans="1:47" ht="15.75" customHeight="1">
      <c r="A716" s="60">
        <v>44525</v>
      </c>
      <c r="B716" s="69" t="s">
        <v>1151</v>
      </c>
      <c r="C716" s="62" t="s">
        <v>150</v>
      </c>
      <c r="D716" s="46" t="s">
        <v>54</v>
      </c>
      <c r="E716" s="70">
        <v>95072.23</v>
      </c>
      <c r="F716" s="46" t="s">
        <v>155</v>
      </c>
      <c r="G716" s="56" t="s">
        <v>107</v>
      </c>
      <c r="H716" s="56" t="s">
        <v>12</v>
      </c>
      <c r="I716" s="56" t="s">
        <v>153</v>
      </c>
      <c r="J716" s="56">
        <v>43780</v>
      </c>
      <c r="K716" s="56" t="s">
        <v>302</v>
      </c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</row>
    <row r="717" spans="1:47" ht="15.75" customHeight="1">
      <c r="A717" s="60">
        <v>44525</v>
      </c>
      <c r="B717" s="69" t="s">
        <v>1096</v>
      </c>
      <c r="C717" s="62" t="s">
        <v>150</v>
      </c>
      <c r="D717" s="46" t="s">
        <v>54</v>
      </c>
      <c r="E717" s="70">
        <v>287057.81</v>
      </c>
      <c r="F717" s="46" t="s">
        <v>186</v>
      </c>
      <c r="G717" s="56" t="s">
        <v>11</v>
      </c>
      <c r="H717" s="56" t="s">
        <v>9</v>
      </c>
      <c r="I717" s="56" t="s">
        <v>29</v>
      </c>
      <c r="J717" s="56">
        <v>44393</v>
      </c>
      <c r="K717" s="56" t="s">
        <v>405</v>
      </c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</row>
    <row r="718" spans="1:47" ht="15.75" customHeight="1">
      <c r="A718" s="60">
        <v>44525</v>
      </c>
      <c r="B718" s="69" t="s">
        <v>1152</v>
      </c>
      <c r="C718" s="62" t="s">
        <v>14</v>
      </c>
      <c r="D718" s="46" t="s">
        <v>861</v>
      </c>
      <c r="E718" s="70">
        <v>15000</v>
      </c>
      <c r="F718" s="46" t="s">
        <v>86</v>
      </c>
      <c r="G718" s="46" t="s">
        <v>11</v>
      </c>
      <c r="H718" s="46" t="s">
        <v>12</v>
      </c>
      <c r="I718" s="46" t="s">
        <v>125</v>
      </c>
      <c r="J718" s="56">
        <v>44293</v>
      </c>
      <c r="K718" s="46" t="s">
        <v>295</v>
      </c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</row>
    <row r="719" spans="1:47" ht="15.75" customHeight="1">
      <c r="A719" s="60">
        <v>44526</v>
      </c>
      <c r="B719" s="69" t="s">
        <v>1048</v>
      </c>
      <c r="C719" s="62" t="s">
        <v>150</v>
      </c>
      <c r="D719" s="46" t="s">
        <v>861</v>
      </c>
      <c r="E719" s="70">
        <v>200000</v>
      </c>
      <c r="F719" s="46" t="s">
        <v>100</v>
      </c>
      <c r="G719" s="56" t="s">
        <v>11</v>
      </c>
      <c r="H719" s="56" t="s">
        <v>9</v>
      </c>
      <c r="I719" s="56" t="s">
        <v>29</v>
      </c>
      <c r="J719" s="56">
        <v>44291</v>
      </c>
      <c r="K719" s="56" t="s">
        <v>298</v>
      </c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</row>
    <row r="720" spans="1:47" ht="15.75" customHeight="1">
      <c r="A720" s="60">
        <v>44529</v>
      </c>
      <c r="B720" s="69" t="s">
        <v>1024</v>
      </c>
      <c r="C720" s="62" t="s">
        <v>150</v>
      </c>
      <c r="D720" s="46" t="s">
        <v>861</v>
      </c>
      <c r="E720" s="70">
        <v>150000</v>
      </c>
      <c r="F720" s="46" t="s">
        <v>154</v>
      </c>
      <c r="G720" s="56" t="s">
        <v>11</v>
      </c>
      <c r="H720" s="56" t="s">
        <v>9</v>
      </c>
      <c r="I720" s="56" t="s">
        <v>29</v>
      </c>
      <c r="J720" s="56">
        <v>44321</v>
      </c>
      <c r="K720" s="56" t="s">
        <v>302</v>
      </c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</row>
    <row r="721" spans="1:47" ht="15.75" customHeight="1">
      <c r="A721" s="60">
        <v>44530</v>
      </c>
      <c r="B721" s="69" t="s">
        <v>1153</v>
      </c>
      <c r="C721" s="62" t="s">
        <v>150</v>
      </c>
      <c r="D721" s="46" t="s">
        <v>861</v>
      </c>
      <c r="E721" s="70">
        <v>500000</v>
      </c>
      <c r="F721" s="46" t="s">
        <v>253</v>
      </c>
      <c r="G721" s="56" t="s">
        <v>11</v>
      </c>
      <c r="H721" s="56" t="s">
        <v>9</v>
      </c>
      <c r="I721" s="56" t="s">
        <v>29</v>
      </c>
      <c r="J721" s="56">
        <v>44280</v>
      </c>
      <c r="K721" s="56" t="s">
        <v>298</v>
      </c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</row>
    <row r="722" spans="1:47" ht="15.75" customHeight="1">
      <c r="A722" s="60">
        <v>44530</v>
      </c>
      <c r="B722" s="69" t="s">
        <v>979</v>
      </c>
      <c r="C722" s="62" t="s">
        <v>150</v>
      </c>
      <c r="D722" s="46" t="s">
        <v>861</v>
      </c>
      <c r="E722" s="70">
        <v>50000</v>
      </c>
      <c r="F722" s="46" t="s">
        <v>264</v>
      </c>
      <c r="G722" s="56" t="s">
        <v>11</v>
      </c>
      <c r="H722" s="56" t="s">
        <v>9</v>
      </c>
      <c r="I722" s="56" t="s">
        <v>29</v>
      </c>
      <c r="J722" s="56">
        <v>44279</v>
      </c>
      <c r="K722" s="56" t="s">
        <v>298</v>
      </c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</row>
    <row r="723" spans="1:47" ht="15.75" customHeight="1">
      <c r="A723" s="60">
        <v>44530</v>
      </c>
      <c r="B723" s="69" t="s">
        <v>929</v>
      </c>
      <c r="C723" s="62" t="s">
        <v>150</v>
      </c>
      <c r="D723" s="46" t="s">
        <v>861</v>
      </c>
      <c r="E723" s="70">
        <v>10000</v>
      </c>
      <c r="F723" s="46" t="s">
        <v>103</v>
      </c>
      <c r="G723" s="56" t="s">
        <v>11</v>
      </c>
      <c r="H723" s="56" t="s">
        <v>9</v>
      </c>
      <c r="I723" s="56" t="s">
        <v>10</v>
      </c>
      <c r="J723" s="56">
        <v>44295</v>
      </c>
      <c r="K723" s="56" t="s">
        <v>301</v>
      </c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</row>
    <row r="724" spans="1:47" ht="15.75" customHeight="1">
      <c r="A724" s="60">
        <v>44530</v>
      </c>
      <c r="B724" s="69" t="s">
        <v>1070</v>
      </c>
      <c r="C724" s="62" t="s">
        <v>150</v>
      </c>
      <c r="D724" s="46" t="s">
        <v>861</v>
      </c>
      <c r="E724" s="70">
        <v>20000</v>
      </c>
      <c r="F724" s="46" t="s">
        <v>279</v>
      </c>
      <c r="G724" s="56" t="s">
        <v>11</v>
      </c>
      <c r="H724" s="56" t="s">
        <v>9</v>
      </c>
      <c r="I724" s="56" t="s">
        <v>10</v>
      </c>
      <c r="J724" s="56">
        <v>44263</v>
      </c>
      <c r="K724" s="56" t="s">
        <v>302</v>
      </c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</row>
    <row r="725" spans="1:47" ht="15.75" customHeight="1">
      <c r="A725" s="60">
        <v>44531</v>
      </c>
      <c r="B725" s="69" t="s">
        <v>995</v>
      </c>
      <c r="C725" s="62" t="s">
        <v>150</v>
      </c>
      <c r="D725" s="46" t="s">
        <v>861</v>
      </c>
      <c r="E725" s="70">
        <v>12000</v>
      </c>
      <c r="F725" s="46" t="s">
        <v>114</v>
      </c>
      <c r="G725" s="56" t="s">
        <v>11</v>
      </c>
      <c r="H725" s="56" t="s">
        <v>9</v>
      </c>
      <c r="I725" s="56" t="s">
        <v>29</v>
      </c>
      <c r="J725" s="56">
        <v>44319</v>
      </c>
      <c r="K725" s="56" t="s">
        <v>298</v>
      </c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</row>
    <row r="726" spans="1:47" ht="15.75" customHeight="1">
      <c r="A726" s="60">
        <v>44531</v>
      </c>
      <c r="B726" s="69" t="s">
        <v>928</v>
      </c>
      <c r="C726" s="62" t="s">
        <v>150</v>
      </c>
      <c r="D726" s="46" t="s">
        <v>861</v>
      </c>
      <c r="E726" s="70">
        <v>40000</v>
      </c>
      <c r="F726" s="46" t="s">
        <v>53</v>
      </c>
      <c r="G726" s="56" t="s">
        <v>11</v>
      </c>
      <c r="H726" s="56" t="s">
        <v>9</v>
      </c>
      <c r="I726" s="56" t="s">
        <v>10</v>
      </c>
      <c r="J726" s="56">
        <v>44321</v>
      </c>
      <c r="K726" s="56" t="s">
        <v>298</v>
      </c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</row>
    <row r="727" spans="1:47" ht="15.75" customHeight="1">
      <c r="A727" s="60">
        <v>44531</v>
      </c>
      <c r="B727" s="91" t="s">
        <v>962</v>
      </c>
      <c r="C727" s="62" t="s">
        <v>14</v>
      </c>
      <c r="D727" s="46" t="s">
        <v>861</v>
      </c>
      <c r="E727" s="70">
        <v>5800</v>
      </c>
      <c r="F727" s="46" t="s">
        <v>520</v>
      </c>
      <c r="G727" s="46" t="s">
        <v>24</v>
      </c>
      <c r="H727" s="46" t="s">
        <v>12</v>
      </c>
      <c r="I727" s="46" t="s">
        <v>434</v>
      </c>
      <c r="J727" s="56">
        <v>44180</v>
      </c>
      <c r="K727" s="46" t="s">
        <v>298</v>
      </c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</row>
    <row r="728" spans="1:47" ht="15.75" customHeight="1">
      <c r="A728" s="60">
        <v>44531</v>
      </c>
      <c r="B728" s="95" t="s">
        <v>1037</v>
      </c>
      <c r="C728" s="62" t="s">
        <v>14</v>
      </c>
      <c r="D728" s="46" t="s">
        <v>861</v>
      </c>
      <c r="E728" s="70">
        <v>200000</v>
      </c>
      <c r="F728" s="39" t="s">
        <v>349</v>
      </c>
      <c r="G728" s="37" t="s">
        <v>107</v>
      </c>
      <c r="H728" s="100" t="s">
        <v>12</v>
      </c>
      <c r="I728" s="100" t="s">
        <v>107</v>
      </c>
      <c r="J728" s="101">
        <v>44235</v>
      </c>
      <c r="K728" s="39" t="s">
        <v>298</v>
      </c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</row>
    <row r="729" spans="1:47" ht="15.75" customHeight="1">
      <c r="A729" s="60">
        <v>44532</v>
      </c>
      <c r="B729" s="69" t="s">
        <v>1042</v>
      </c>
      <c r="C729" s="62" t="s">
        <v>150</v>
      </c>
      <c r="D729" s="46" t="s">
        <v>861</v>
      </c>
      <c r="E729" s="70">
        <v>500</v>
      </c>
      <c r="F729" s="46" t="s">
        <v>39</v>
      </c>
      <c r="G729" s="56" t="s">
        <v>11</v>
      </c>
      <c r="H729" s="56" t="s">
        <v>9</v>
      </c>
      <c r="I729" s="56" t="s">
        <v>10</v>
      </c>
      <c r="J729" s="56">
        <v>44263</v>
      </c>
      <c r="K729" s="56" t="s">
        <v>298</v>
      </c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</row>
    <row r="730" spans="1:47" ht="15.75" customHeight="1">
      <c r="A730" s="60">
        <v>44532</v>
      </c>
      <c r="B730" s="69" t="s">
        <v>993</v>
      </c>
      <c r="C730" s="62" t="s">
        <v>150</v>
      </c>
      <c r="D730" s="46" t="s">
        <v>861</v>
      </c>
      <c r="E730" s="70">
        <v>10000</v>
      </c>
      <c r="F730" s="46" t="s">
        <v>239</v>
      </c>
      <c r="G730" s="56" t="s">
        <v>11</v>
      </c>
      <c r="H730" s="56" t="s">
        <v>9</v>
      </c>
      <c r="I730" s="56" t="s">
        <v>29</v>
      </c>
      <c r="J730" s="56">
        <v>44322</v>
      </c>
      <c r="K730" s="56" t="s">
        <v>298</v>
      </c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</row>
    <row r="731" spans="1:47" ht="15.75" customHeight="1">
      <c r="A731" s="60">
        <v>44532</v>
      </c>
      <c r="B731" s="69" t="s">
        <v>867</v>
      </c>
      <c r="C731" s="62" t="s">
        <v>150</v>
      </c>
      <c r="D731" s="46" t="s">
        <v>861</v>
      </c>
      <c r="E731" s="70">
        <v>25000</v>
      </c>
      <c r="F731" s="46" t="s">
        <v>206</v>
      </c>
      <c r="G731" s="56" t="s">
        <v>107</v>
      </c>
      <c r="H731" s="56" t="s">
        <v>12</v>
      </c>
      <c r="I731" s="56" t="s">
        <v>108</v>
      </c>
      <c r="J731" s="56">
        <v>43703</v>
      </c>
      <c r="K731" s="56" t="s">
        <v>382</v>
      </c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</row>
    <row r="732" spans="1:47" ht="15.75" customHeight="1">
      <c r="A732" s="60">
        <v>44536</v>
      </c>
      <c r="B732" s="69" t="s">
        <v>882</v>
      </c>
      <c r="C732" s="62" t="s">
        <v>150</v>
      </c>
      <c r="D732" s="46" t="s">
        <v>861</v>
      </c>
      <c r="E732" s="70">
        <v>6000</v>
      </c>
      <c r="F732" s="46" t="s">
        <v>280</v>
      </c>
      <c r="G732" s="56" t="s">
        <v>107</v>
      </c>
      <c r="H732" s="56" t="s">
        <v>12</v>
      </c>
      <c r="I732" s="56" t="s">
        <v>108</v>
      </c>
      <c r="J732" s="56">
        <v>43717</v>
      </c>
      <c r="K732" s="56" t="s">
        <v>382</v>
      </c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</row>
    <row r="733" spans="1:47" ht="15.75" customHeight="1">
      <c r="A733" s="60">
        <v>44536</v>
      </c>
      <c r="B733" s="57" t="s">
        <v>869</v>
      </c>
      <c r="C733" s="62" t="s">
        <v>150</v>
      </c>
      <c r="D733" s="46" t="s">
        <v>861</v>
      </c>
      <c r="E733" s="70">
        <v>12000</v>
      </c>
      <c r="F733" s="46" t="s">
        <v>101</v>
      </c>
      <c r="G733" s="56" t="s">
        <v>107</v>
      </c>
      <c r="H733" s="56" t="s">
        <v>12</v>
      </c>
      <c r="I733" s="56" t="s">
        <v>108</v>
      </c>
      <c r="J733" s="56">
        <v>43605</v>
      </c>
      <c r="K733" s="56" t="s">
        <v>302</v>
      </c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</row>
    <row r="734" spans="1:47" ht="15.75" customHeight="1">
      <c r="A734" s="60">
        <v>44537</v>
      </c>
      <c r="B734" s="69" t="s">
        <v>885</v>
      </c>
      <c r="C734" s="62" t="s">
        <v>150</v>
      </c>
      <c r="D734" s="46" t="s">
        <v>861</v>
      </c>
      <c r="E734" s="70">
        <v>100000</v>
      </c>
      <c r="F734" s="46" t="s">
        <v>161</v>
      </c>
      <c r="G734" s="56" t="s">
        <v>107</v>
      </c>
      <c r="H734" s="56" t="s">
        <v>12</v>
      </c>
      <c r="I734" s="56" t="s">
        <v>108</v>
      </c>
      <c r="J734" s="56">
        <v>43867</v>
      </c>
      <c r="K734" s="56" t="s">
        <v>298</v>
      </c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</row>
    <row r="735" spans="1:47" ht="15.75" customHeight="1">
      <c r="A735" s="60">
        <v>44537</v>
      </c>
      <c r="B735" s="69" t="s">
        <v>1070</v>
      </c>
      <c r="C735" s="62" t="s">
        <v>150</v>
      </c>
      <c r="D735" s="46" t="s">
        <v>861</v>
      </c>
      <c r="E735" s="70">
        <v>20000</v>
      </c>
      <c r="F735" s="46" t="s">
        <v>279</v>
      </c>
      <c r="G735" s="56" t="s">
        <v>11</v>
      </c>
      <c r="H735" s="56" t="s">
        <v>9</v>
      </c>
      <c r="I735" s="56" t="s">
        <v>10</v>
      </c>
      <c r="J735" s="56">
        <v>44263</v>
      </c>
      <c r="K735" s="56" t="s">
        <v>302</v>
      </c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</row>
    <row r="736" spans="1:47" ht="15.75" customHeight="1">
      <c r="A736" s="60">
        <v>44537</v>
      </c>
      <c r="B736" s="69" t="s">
        <v>883</v>
      </c>
      <c r="C736" s="62" t="s">
        <v>150</v>
      </c>
      <c r="D736" s="46" t="s">
        <v>861</v>
      </c>
      <c r="E736" s="70">
        <v>4000</v>
      </c>
      <c r="F736" s="46" t="s">
        <v>113</v>
      </c>
      <c r="G736" s="56" t="s">
        <v>107</v>
      </c>
      <c r="H736" s="56" t="s">
        <v>12</v>
      </c>
      <c r="I736" s="56" t="s">
        <v>108</v>
      </c>
      <c r="J736" s="56">
        <v>43894</v>
      </c>
      <c r="K736" s="56" t="s">
        <v>302</v>
      </c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</row>
    <row r="737" spans="1:47" ht="15.75" customHeight="1">
      <c r="A737" s="60">
        <v>44537</v>
      </c>
      <c r="B737" s="93" t="s">
        <v>1041</v>
      </c>
      <c r="C737" s="62" t="s">
        <v>14</v>
      </c>
      <c r="D737" s="46" t="s">
        <v>237</v>
      </c>
      <c r="E737" s="70">
        <v>165996.78</v>
      </c>
      <c r="F737" s="46" t="s">
        <v>464</v>
      </c>
      <c r="G737" s="46" t="s">
        <v>24</v>
      </c>
      <c r="H737" s="46" t="s">
        <v>12</v>
      </c>
      <c r="I737" s="85" t="s">
        <v>465</v>
      </c>
      <c r="J737" s="56">
        <v>44130</v>
      </c>
      <c r="K737" s="63" t="s">
        <v>298</v>
      </c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</row>
    <row r="738" spans="1:47" ht="15.75" customHeight="1">
      <c r="A738" s="60">
        <v>44537</v>
      </c>
      <c r="B738" s="93" t="s">
        <v>1116</v>
      </c>
      <c r="C738" s="62" t="s">
        <v>14</v>
      </c>
      <c r="D738" s="46" t="s">
        <v>237</v>
      </c>
      <c r="E738" s="70">
        <v>2049.5500000000002</v>
      </c>
      <c r="F738" s="46" t="s">
        <v>393</v>
      </c>
      <c r="G738" s="46" t="s">
        <v>24</v>
      </c>
      <c r="H738" s="46" t="s">
        <v>12</v>
      </c>
      <c r="I738" s="46" t="s">
        <v>312</v>
      </c>
      <c r="J738" s="56">
        <v>44075</v>
      </c>
      <c r="K738" s="46" t="s">
        <v>295</v>
      </c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</row>
    <row r="739" spans="1:47" ht="15.75" customHeight="1">
      <c r="A739" s="60">
        <v>44538</v>
      </c>
      <c r="B739" s="82">
        <v>6549214</v>
      </c>
      <c r="C739" s="62" t="s">
        <v>14</v>
      </c>
      <c r="D739" s="46" t="s">
        <v>861</v>
      </c>
      <c r="E739" s="70">
        <v>24469.7</v>
      </c>
      <c r="F739" s="46" t="s">
        <v>473</v>
      </c>
      <c r="G739" s="56" t="s">
        <v>11</v>
      </c>
      <c r="H739" s="56" t="s">
        <v>17</v>
      </c>
      <c r="I739" s="56" t="s">
        <v>369</v>
      </c>
      <c r="J739" s="56">
        <v>44487</v>
      </c>
      <c r="K739" s="56" t="s">
        <v>298</v>
      </c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</row>
    <row r="740" spans="1:47" ht="15.75" customHeight="1">
      <c r="A740" s="60">
        <v>44540</v>
      </c>
      <c r="B740" s="69" t="s">
        <v>994</v>
      </c>
      <c r="C740" s="62" t="s">
        <v>150</v>
      </c>
      <c r="D740" s="46" t="s">
        <v>861</v>
      </c>
      <c r="E740" s="70">
        <v>10000</v>
      </c>
      <c r="F740" s="46" t="s">
        <v>218</v>
      </c>
      <c r="G740" s="56" t="s">
        <v>11</v>
      </c>
      <c r="H740" s="56" t="s">
        <v>9</v>
      </c>
      <c r="I740" s="56" t="s">
        <v>98</v>
      </c>
      <c r="J740" s="56">
        <v>44266</v>
      </c>
      <c r="K740" s="56" t="s">
        <v>302</v>
      </c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</row>
    <row r="741" spans="1:47" ht="15.75" customHeight="1">
      <c r="A741" s="60">
        <v>44543</v>
      </c>
      <c r="B741" s="93" t="s">
        <v>1130</v>
      </c>
      <c r="C741" s="62" t="s">
        <v>14</v>
      </c>
      <c r="D741" s="46" t="s">
        <v>237</v>
      </c>
      <c r="E741" s="70">
        <v>79069.899999999994</v>
      </c>
      <c r="F741" s="46" t="s">
        <v>261</v>
      </c>
      <c r="G741" s="46" t="s">
        <v>107</v>
      </c>
      <c r="H741" s="46" t="s">
        <v>12</v>
      </c>
      <c r="I741" s="46" t="s">
        <v>107</v>
      </c>
      <c r="J741" s="56">
        <v>44151</v>
      </c>
      <c r="K741" s="46" t="s">
        <v>298</v>
      </c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</row>
    <row r="742" spans="1:47" ht="15.75" customHeight="1">
      <c r="A742" s="60">
        <v>44543</v>
      </c>
      <c r="B742" s="69" t="s">
        <v>1154</v>
      </c>
      <c r="C742" s="62" t="s">
        <v>150</v>
      </c>
      <c r="D742" s="46" t="s">
        <v>861</v>
      </c>
      <c r="E742" s="70">
        <v>104000</v>
      </c>
      <c r="F742" s="46" t="s">
        <v>222</v>
      </c>
      <c r="G742" s="56" t="s">
        <v>11</v>
      </c>
      <c r="H742" s="56" t="s">
        <v>9</v>
      </c>
      <c r="I742" s="56" t="s">
        <v>10</v>
      </c>
      <c r="J742" s="56">
        <v>44263</v>
      </c>
      <c r="K742" s="56" t="s">
        <v>298</v>
      </c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</row>
    <row r="743" spans="1:47" ht="15.75" customHeight="1">
      <c r="A743" s="60">
        <v>44544</v>
      </c>
      <c r="B743" s="69" t="s">
        <v>1155</v>
      </c>
      <c r="C743" s="62" t="s">
        <v>14</v>
      </c>
      <c r="D743" s="46" t="s">
        <v>54</v>
      </c>
      <c r="E743" s="70">
        <v>47268.23</v>
      </c>
      <c r="F743" s="46" t="s">
        <v>478</v>
      </c>
      <c r="G743" s="46" t="s">
        <v>107</v>
      </c>
      <c r="H743" s="46" t="s">
        <v>12</v>
      </c>
      <c r="I743" s="46" t="s">
        <v>107</v>
      </c>
      <c r="J743" s="56">
        <v>44734</v>
      </c>
      <c r="K743" s="46" t="s">
        <v>298</v>
      </c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</row>
    <row r="744" spans="1:47" ht="15.75" customHeight="1">
      <c r="A744" s="60">
        <v>44544</v>
      </c>
      <c r="B744" s="95" t="s">
        <v>941</v>
      </c>
      <c r="C744" s="62" t="s">
        <v>14</v>
      </c>
      <c r="D744" s="46" t="s">
        <v>861</v>
      </c>
      <c r="E744" s="70">
        <v>5000</v>
      </c>
      <c r="F744" s="46" t="s">
        <v>313</v>
      </c>
      <c r="G744" s="46" t="s">
        <v>107</v>
      </c>
      <c r="H744" s="46" t="s">
        <v>12</v>
      </c>
      <c r="I744" s="46" t="s">
        <v>107</v>
      </c>
      <c r="J744" s="56">
        <v>44180</v>
      </c>
      <c r="K744" s="46" t="s">
        <v>298</v>
      </c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</row>
    <row r="745" spans="1:47" ht="15.75" customHeight="1">
      <c r="A745" s="60">
        <v>44544</v>
      </c>
      <c r="B745" s="69" t="s">
        <v>929</v>
      </c>
      <c r="C745" s="62" t="s">
        <v>150</v>
      </c>
      <c r="D745" s="46" t="s">
        <v>861</v>
      </c>
      <c r="E745" s="70">
        <v>5000</v>
      </c>
      <c r="F745" s="46" t="s">
        <v>103</v>
      </c>
      <c r="G745" s="56" t="s">
        <v>11</v>
      </c>
      <c r="H745" s="56" t="s">
        <v>9</v>
      </c>
      <c r="I745" s="56" t="s">
        <v>10</v>
      </c>
      <c r="J745" s="56">
        <v>44295</v>
      </c>
      <c r="K745" s="56" t="s">
        <v>301</v>
      </c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</row>
    <row r="746" spans="1:47" ht="15.75" customHeight="1">
      <c r="A746" s="60">
        <v>44545</v>
      </c>
      <c r="B746" s="72" t="s">
        <v>932</v>
      </c>
      <c r="C746" s="62" t="s">
        <v>14</v>
      </c>
      <c r="D746" s="46" t="s">
        <v>861</v>
      </c>
      <c r="E746" s="70">
        <v>5000</v>
      </c>
      <c r="F746" s="46" t="s">
        <v>1156</v>
      </c>
      <c r="G746" s="37" t="s">
        <v>24</v>
      </c>
      <c r="H746" s="100" t="s">
        <v>12</v>
      </c>
      <c r="I746" s="100" t="s">
        <v>316</v>
      </c>
      <c r="J746" s="101">
        <v>44263</v>
      </c>
      <c r="K746" s="46" t="s">
        <v>298</v>
      </c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</row>
    <row r="747" spans="1:47" ht="15.75" customHeight="1">
      <c r="A747" s="60">
        <v>44545</v>
      </c>
      <c r="B747" s="94" t="s">
        <v>1157</v>
      </c>
      <c r="C747" s="62" t="s">
        <v>14</v>
      </c>
      <c r="D747" s="46" t="s">
        <v>237</v>
      </c>
      <c r="E747" s="70">
        <v>110068.61</v>
      </c>
      <c r="F747" s="46" t="s">
        <v>493</v>
      </c>
      <c r="G747" s="46" t="s">
        <v>11</v>
      </c>
      <c r="H747" s="46" t="s">
        <v>17</v>
      </c>
      <c r="I747" s="46" t="s">
        <v>35</v>
      </c>
      <c r="J747" s="56">
        <v>44369</v>
      </c>
      <c r="K747" s="46" t="s">
        <v>304</v>
      </c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</row>
    <row r="748" spans="1:47" ht="15.75" customHeight="1">
      <c r="A748" s="60">
        <v>44545</v>
      </c>
      <c r="B748" s="69" t="s">
        <v>1158</v>
      </c>
      <c r="C748" s="62" t="s">
        <v>150</v>
      </c>
      <c r="D748" s="46" t="s">
        <v>861</v>
      </c>
      <c r="E748" s="70">
        <v>114749.72</v>
      </c>
      <c r="F748" s="46" t="s">
        <v>228</v>
      </c>
      <c r="G748" s="56" t="s">
        <v>11</v>
      </c>
      <c r="H748" s="56" t="s">
        <v>9</v>
      </c>
      <c r="I748" s="56" t="s">
        <v>29</v>
      </c>
      <c r="J748" s="56">
        <v>44321</v>
      </c>
      <c r="K748" s="56" t="s">
        <v>295</v>
      </c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</row>
    <row r="749" spans="1:47" ht="15.75" customHeight="1">
      <c r="A749" s="60">
        <v>44545</v>
      </c>
      <c r="B749" s="69" t="s">
        <v>979</v>
      </c>
      <c r="C749" s="62" t="s">
        <v>150</v>
      </c>
      <c r="D749" s="46" t="s">
        <v>861</v>
      </c>
      <c r="E749" s="70">
        <v>30000</v>
      </c>
      <c r="F749" s="46" t="s">
        <v>264</v>
      </c>
      <c r="G749" s="56" t="s">
        <v>11</v>
      </c>
      <c r="H749" s="56" t="s">
        <v>9</v>
      </c>
      <c r="I749" s="56" t="s">
        <v>29</v>
      </c>
      <c r="J749" s="56">
        <v>44279</v>
      </c>
      <c r="K749" s="56" t="s">
        <v>298</v>
      </c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</row>
    <row r="750" spans="1:47" ht="15.75" customHeight="1">
      <c r="A750" s="60">
        <v>44545</v>
      </c>
      <c r="B750" s="97" t="s">
        <v>871</v>
      </c>
      <c r="C750" s="62" t="s">
        <v>150</v>
      </c>
      <c r="D750" s="46" t="s">
        <v>237</v>
      </c>
      <c r="E750" s="70">
        <v>240263.39</v>
      </c>
      <c r="F750" s="46" t="s">
        <v>180</v>
      </c>
      <c r="G750" s="56" t="s">
        <v>107</v>
      </c>
      <c r="H750" s="56" t="s">
        <v>12</v>
      </c>
      <c r="I750" s="56" t="s">
        <v>108</v>
      </c>
      <c r="J750" s="56">
        <v>43822</v>
      </c>
      <c r="K750" s="56" t="s">
        <v>302</v>
      </c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</row>
    <row r="751" spans="1:47" ht="15.75" customHeight="1">
      <c r="A751" s="60">
        <v>44546</v>
      </c>
      <c r="B751" s="57" t="s">
        <v>869</v>
      </c>
      <c r="C751" s="62" t="s">
        <v>150</v>
      </c>
      <c r="D751" s="46" t="s">
        <v>861</v>
      </c>
      <c r="E751" s="70">
        <v>5000</v>
      </c>
      <c r="F751" s="46" t="s">
        <v>101</v>
      </c>
      <c r="G751" s="56" t="s">
        <v>107</v>
      </c>
      <c r="H751" s="56" t="s">
        <v>12</v>
      </c>
      <c r="I751" s="56" t="s">
        <v>108</v>
      </c>
      <c r="J751" s="56">
        <v>43605</v>
      </c>
      <c r="K751" s="56" t="s">
        <v>302</v>
      </c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</row>
    <row r="752" spans="1:47" ht="15.75" customHeight="1">
      <c r="A752" s="60">
        <v>44547</v>
      </c>
      <c r="B752" s="69" t="s">
        <v>1013</v>
      </c>
      <c r="C752" s="62" t="s">
        <v>150</v>
      </c>
      <c r="D752" s="46" t="s">
        <v>861</v>
      </c>
      <c r="E752" s="70">
        <v>5000</v>
      </c>
      <c r="F752" s="46" t="s">
        <v>63</v>
      </c>
      <c r="G752" s="56" t="s">
        <v>11</v>
      </c>
      <c r="H752" s="56" t="s">
        <v>9</v>
      </c>
      <c r="I752" s="56" t="s">
        <v>10</v>
      </c>
      <c r="J752" s="56">
        <v>44280</v>
      </c>
      <c r="K752" s="56" t="s">
        <v>301</v>
      </c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</row>
    <row r="753" spans="1:47" ht="15.75" customHeight="1">
      <c r="A753" s="60">
        <v>44551</v>
      </c>
      <c r="B753" s="97" t="s">
        <v>885</v>
      </c>
      <c r="C753" s="62" t="s">
        <v>150</v>
      </c>
      <c r="D753" s="46" t="s">
        <v>237</v>
      </c>
      <c r="E753" s="70">
        <v>840387.52</v>
      </c>
      <c r="F753" s="46" t="s">
        <v>161</v>
      </c>
      <c r="G753" s="56" t="s">
        <v>107</v>
      </c>
      <c r="H753" s="56" t="s">
        <v>12</v>
      </c>
      <c r="I753" s="56" t="s">
        <v>108</v>
      </c>
      <c r="J753" s="56">
        <v>43867</v>
      </c>
      <c r="K753" s="56" t="s">
        <v>298</v>
      </c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</row>
    <row r="754" spans="1:47" ht="15.75" customHeight="1">
      <c r="A754" s="60">
        <v>44552</v>
      </c>
      <c r="B754" s="69" t="s">
        <v>1039</v>
      </c>
      <c r="C754" s="62" t="s">
        <v>150</v>
      </c>
      <c r="D754" s="46" t="s">
        <v>861</v>
      </c>
      <c r="E754" s="70">
        <v>40000</v>
      </c>
      <c r="F754" s="46" t="s">
        <v>49</v>
      </c>
      <c r="G754" s="56" t="s">
        <v>11</v>
      </c>
      <c r="H754" s="56" t="s">
        <v>9</v>
      </c>
      <c r="I754" s="56" t="s">
        <v>10</v>
      </c>
      <c r="J754" s="56">
        <v>44280</v>
      </c>
      <c r="K754" s="56" t="s">
        <v>298</v>
      </c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</row>
    <row r="755" spans="1:47" ht="15.75" customHeight="1">
      <c r="A755" s="60">
        <v>44553</v>
      </c>
      <c r="B755" s="91" t="s">
        <v>1159</v>
      </c>
      <c r="C755" s="62" t="s">
        <v>14</v>
      </c>
      <c r="D755" s="46" t="s">
        <v>54</v>
      </c>
      <c r="E755" s="70">
        <v>368899.52</v>
      </c>
      <c r="F755" s="46" t="s">
        <v>480</v>
      </c>
      <c r="G755" s="46" t="s">
        <v>11</v>
      </c>
      <c r="H755" s="46" t="s">
        <v>17</v>
      </c>
      <c r="I755" s="46" t="s">
        <v>35</v>
      </c>
      <c r="J755" s="56">
        <v>44251</v>
      </c>
      <c r="K755" s="46" t="s">
        <v>298</v>
      </c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</row>
    <row r="756" spans="1:47" ht="15.75" customHeight="1">
      <c r="A756" s="60">
        <v>44553</v>
      </c>
      <c r="B756" s="69" t="s">
        <v>1070</v>
      </c>
      <c r="C756" s="62" t="s">
        <v>150</v>
      </c>
      <c r="D756" s="46" t="s">
        <v>861</v>
      </c>
      <c r="E756" s="70">
        <v>30000</v>
      </c>
      <c r="F756" s="46" t="s">
        <v>279</v>
      </c>
      <c r="G756" s="56" t="s">
        <v>11</v>
      </c>
      <c r="H756" s="56" t="s">
        <v>9</v>
      </c>
      <c r="I756" s="56" t="s">
        <v>10</v>
      </c>
      <c r="J756" s="56">
        <v>44263</v>
      </c>
      <c r="K756" s="56" t="s">
        <v>302</v>
      </c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</row>
    <row r="757" spans="1:47" ht="15.75" customHeight="1">
      <c r="A757" s="60">
        <v>44553</v>
      </c>
      <c r="B757" s="69" t="s">
        <v>1129</v>
      </c>
      <c r="C757" s="62" t="s">
        <v>150</v>
      </c>
      <c r="D757" s="46" t="s">
        <v>861</v>
      </c>
      <c r="E757" s="70">
        <v>40000</v>
      </c>
      <c r="F757" s="46" t="s">
        <v>242</v>
      </c>
      <c r="G757" s="56" t="s">
        <v>11</v>
      </c>
      <c r="H757" s="56" t="s">
        <v>9</v>
      </c>
      <c r="I757" s="56" t="s">
        <v>10</v>
      </c>
      <c r="J757" s="56">
        <v>44323</v>
      </c>
      <c r="K757" s="56" t="s">
        <v>309</v>
      </c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</row>
    <row r="758" spans="1:47" ht="15.75" customHeight="1">
      <c r="A758" s="60">
        <v>44553</v>
      </c>
      <c r="B758" s="69" t="s">
        <v>1071</v>
      </c>
      <c r="C758" s="62" t="s">
        <v>150</v>
      </c>
      <c r="D758" s="46" t="s">
        <v>861</v>
      </c>
      <c r="E758" s="70">
        <v>100000</v>
      </c>
      <c r="F758" s="46" t="s">
        <v>34</v>
      </c>
      <c r="G758" s="56" t="s">
        <v>11</v>
      </c>
      <c r="H758" s="56" t="s">
        <v>9</v>
      </c>
      <c r="I758" s="56" t="s">
        <v>10</v>
      </c>
      <c r="J758" s="56">
        <v>44266</v>
      </c>
      <c r="K758" s="56" t="s">
        <v>295</v>
      </c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</row>
    <row r="759" spans="1:47" ht="15.75" customHeight="1">
      <c r="A759" s="60">
        <v>44557</v>
      </c>
      <c r="B759" s="57" t="s">
        <v>869</v>
      </c>
      <c r="C759" s="62" t="s">
        <v>150</v>
      </c>
      <c r="D759" s="46" t="s">
        <v>861</v>
      </c>
      <c r="E759" s="70">
        <v>14000</v>
      </c>
      <c r="F759" s="46" t="s">
        <v>101</v>
      </c>
      <c r="G759" s="56" t="s">
        <v>107</v>
      </c>
      <c r="H759" s="56" t="s">
        <v>12</v>
      </c>
      <c r="I759" s="56" t="s">
        <v>108</v>
      </c>
      <c r="J759" s="56">
        <v>43605</v>
      </c>
      <c r="K759" s="56" t="s">
        <v>302</v>
      </c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</row>
    <row r="760" spans="1:47" ht="15.75" customHeight="1">
      <c r="A760" s="60">
        <v>44559</v>
      </c>
      <c r="B760" s="69" t="s">
        <v>882</v>
      </c>
      <c r="C760" s="62" t="s">
        <v>150</v>
      </c>
      <c r="D760" s="46" t="s">
        <v>861</v>
      </c>
      <c r="E760" s="70">
        <v>5000</v>
      </c>
      <c r="F760" s="46" t="s">
        <v>280</v>
      </c>
      <c r="G760" s="56" t="s">
        <v>107</v>
      </c>
      <c r="H760" s="56" t="s">
        <v>12</v>
      </c>
      <c r="I760" s="56" t="s">
        <v>108</v>
      </c>
      <c r="J760" s="56">
        <v>43717</v>
      </c>
      <c r="K760" s="56" t="s">
        <v>382</v>
      </c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</row>
    <row r="761" spans="1:47" ht="15.75" customHeight="1">
      <c r="A761" s="60">
        <v>44559</v>
      </c>
      <c r="B761" s="94" t="s">
        <v>1160</v>
      </c>
      <c r="C761" s="62" t="s">
        <v>14</v>
      </c>
      <c r="D761" s="46" t="s">
        <v>237</v>
      </c>
      <c r="E761" s="70">
        <v>97410.240000000005</v>
      </c>
      <c r="F761" s="46" t="s">
        <v>1161</v>
      </c>
      <c r="G761" s="46" t="s">
        <v>11</v>
      </c>
      <c r="H761" s="46" t="s">
        <v>12</v>
      </c>
      <c r="I761" s="46" t="s">
        <v>138</v>
      </c>
      <c r="J761" s="56">
        <v>44354</v>
      </c>
      <c r="K761" s="46" t="s">
        <v>304</v>
      </c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</row>
    <row r="762" spans="1:47" ht="15.75" customHeight="1">
      <c r="A762" s="38">
        <v>44566.405864444445</v>
      </c>
      <c r="B762" s="69" t="s">
        <v>1070</v>
      </c>
      <c r="C762" s="62" t="s">
        <v>150</v>
      </c>
      <c r="D762" s="46" t="s">
        <v>861</v>
      </c>
      <c r="E762" s="70" t="s">
        <v>1162</v>
      </c>
      <c r="F762" s="46" t="s">
        <v>279</v>
      </c>
      <c r="G762" s="56" t="s">
        <v>11</v>
      </c>
      <c r="H762" s="56" t="s">
        <v>9</v>
      </c>
      <c r="I762" s="56" t="s">
        <v>10</v>
      </c>
      <c r="J762" s="56">
        <v>44263</v>
      </c>
      <c r="K762" s="56" t="s">
        <v>302</v>
      </c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</row>
    <row r="763" spans="1:47" ht="15.75" customHeight="1">
      <c r="A763" s="38">
        <v>44567.470252824074</v>
      </c>
      <c r="B763" s="69" t="s">
        <v>1163</v>
      </c>
      <c r="C763" s="62" t="s">
        <v>150</v>
      </c>
      <c r="D763" s="46" t="s">
        <v>54</v>
      </c>
      <c r="E763" s="71">
        <v>648751.76</v>
      </c>
      <c r="F763" s="46" t="s">
        <v>199</v>
      </c>
      <c r="G763" s="56" t="s">
        <v>11</v>
      </c>
      <c r="H763" s="56" t="s">
        <v>9</v>
      </c>
      <c r="I763" s="56" t="s">
        <v>10</v>
      </c>
      <c r="J763" s="56">
        <v>44280</v>
      </c>
      <c r="K763" s="56" t="s">
        <v>295</v>
      </c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</row>
    <row r="764" spans="1:47" ht="15.75" customHeight="1">
      <c r="A764" s="38">
        <v>44567.6009122338</v>
      </c>
      <c r="B764" s="69" t="s">
        <v>1164</v>
      </c>
      <c r="C764" s="62" t="s">
        <v>150</v>
      </c>
      <c r="D764" s="46" t="s">
        <v>54</v>
      </c>
      <c r="E764" s="90">
        <v>146875.19</v>
      </c>
      <c r="F764" s="46" t="s">
        <v>282</v>
      </c>
      <c r="G764" s="56" t="s">
        <v>11</v>
      </c>
      <c r="H764" s="56" t="s">
        <v>9</v>
      </c>
      <c r="I764" s="56" t="s">
        <v>29</v>
      </c>
      <c r="J764" s="56">
        <v>44340</v>
      </c>
      <c r="K764" s="56" t="s">
        <v>302</v>
      </c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</row>
    <row r="765" spans="1:47" ht="15.75" customHeight="1">
      <c r="A765" s="38">
        <v>44567.606299722218</v>
      </c>
      <c r="B765" s="69" t="s">
        <v>1048</v>
      </c>
      <c r="C765" s="62" t="s">
        <v>150</v>
      </c>
      <c r="D765" s="46" t="s">
        <v>861</v>
      </c>
      <c r="E765" s="70" t="s">
        <v>1165</v>
      </c>
      <c r="F765" s="46" t="s">
        <v>100</v>
      </c>
      <c r="G765" s="56" t="s">
        <v>11</v>
      </c>
      <c r="H765" s="56" t="s">
        <v>9</v>
      </c>
      <c r="I765" s="56" t="s">
        <v>29</v>
      </c>
      <c r="J765" s="56">
        <v>44291</v>
      </c>
      <c r="K765" s="56" t="s">
        <v>298</v>
      </c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</row>
    <row r="766" spans="1:47" ht="15.75" customHeight="1">
      <c r="A766" s="38">
        <v>44568.43395849537</v>
      </c>
      <c r="B766" s="69" t="s">
        <v>1024</v>
      </c>
      <c r="C766" s="62" t="s">
        <v>150</v>
      </c>
      <c r="D766" s="46" t="s">
        <v>861</v>
      </c>
      <c r="E766" s="70" t="s">
        <v>1166</v>
      </c>
      <c r="F766" s="46" t="s">
        <v>154</v>
      </c>
      <c r="G766" s="56" t="s">
        <v>11</v>
      </c>
      <c r="H766" s="56" t="s">
        <v>9</v>
      </c>
      <c r="I766" s="56" t="s">
        <v>29</v>
      </c>
      <c r="J766" s="56">
        <v>44321</v>
      </c>
      <c r="K766" s="56" t="s">
        <v>302</v>
      </c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</row>
    <row r="767" spans="1:47" ht="15.75" customHeight="1">
      <c r="A767" s="38">
        <v>44568.568650995367</v>
      </c>
      <c r="B767" s="69" t="s">
        <v>1167</v>
      </c>
      <c r="C767" s="62" t="s">
        <v>150</v>
      </c>
      <c r="D767" s="46" t="s">
        <v>861</v>
      </c>
      <c r="E767" s="70" t="s">
        <v>1168</v>
      </c>
      <c r="F767" s="46" t="s">
        <v>197</v>
      </c>
      <c r="G767" s="56" t="s">
        <v>11</v>
      </c>
      <c r="H767" s="56" t="s">
        <v>9</v>
      </c>
      <c r="I767" s="56" t="s">
        <v>29</v>
      </c>
      <c r="J767" s="56">
        <v>44280</v>
      </c>
      <c r="K767" s="56" t="s">
        <v>295</v>
      </c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</row>
    <row r="768" spans="1:47" ht="15.75" customHeight="1">
      <c r="A768" s="38">
        <v>44569</v>
      </c>
      <c r="B768" s="69" t="s">
        <v>140</v>
      </c>
      <c r="C768" s="62" t="s">
        <v>120</v>
      </c>
      <c r="D768" s="46" t="s">
        <v>237</v>
      </c>
      <c r="E768" s="70">
        <v>151280.20000000001</v>
      </c>
      <c r="F768" s="46" t="s">
        <v>139</v>
      </c>
      <c r="G768" s="56" t="s">
        <v>11</v>
      </c>
      <c r="H768" s="56" t="s">
        <v>12</v>
      </c>
      <c r="I768" s="56" t="s">
        <v>131</v>
      </c>
      <c r="J768" s="56">
        <v>43731</v>
      </c>
      <c r="K768" s="56" t="s">
        <v>295</v>
      </c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</row>
    <row r="769" spans="1:47" ht="15.75" customHeight="1">
      <c r="A769" s="38">
        <v>44571.46989226852</v>
      </c>
      <c r="B769" s="69" t="s">
        <v>1070</v>
      </c>
      <c r="C769" s="62" t="s">
        <v>150</v>
      </c>
      <c r="D769" s="46" t="s">
        <v>861</v>
      </c>
      <c r="E769" s="70" t="s">
        <v>1169</v>
      </c>
      <c r="F769" s="46" t="s">
        <v>279</v>
      </c>
      <c r="G769" s="56" t="s">
        <v>11</v>
      </c>
      <c r="H769" s="56" t="s">
        <v>9</v>
      </c>
      <c r="I769" s="56" t="s">
        <v>10</v>
      </c>
      <c r="J769" s="56">
        <v>44263</v>
      </c>
      <c r="K769" s="56" t="s">
        <v>302</v>
      </c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</row>
    <row r="770" spans="1:47" ht="15.75" customHeight="1">
      <c r="A770" s="38">
        <v>44571.517733935187</v>
      </c>
      <c r="B770" s="57" t="s">
        <v>127</v>
      </c>
      <c r="C770" s="62" t="s">
        <v>120</v>
      </c>
      <c r="D770" s="46" t="s">
        <v>861</v>
      </c>
      <c r="E770" s="70">
        <v>8500</v>
      </c>
      <c r="F770" s="46" t="s">
        <v>126</v>
      </c>
      <c r="G770" s="56" t="s">
        <v>11</v>
      </c>
      <c r="H770" s="56" t="s">
        <v>12</v>
      </c>
      <c r="I770" s="56" t="s">
        <v>11</v>
      </c>
      <c r="J770" s="56">
        <v>44062</v>
      </c>
      <c r="K770" s="56" t="s">
        <v>298</v>
      </c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</row>
    <row r="771" spans="1:47" ht="15.75" customHeight="1">
      <c r="A771" s="38">
        <v>44571.517733935187</v>
      </c>
      <c r="B771" s="69" t="s">
        <v>929</v>
      </c>
      <c r="C771" s="62" t="s">
        <v>150</v>
      </c>
      <c r="D771" s="46" t="s">
        <v>861</v>
      </c>
      <c r="E771" s="70" t="s">
        <v>1170</v>
      </c>
      <c r="F771" s="46" t="s">
        <v>103</v>
      </c>
      <c r="G771" s="56" t="s">
        <v>11</v>
      </c>
      <c r="H771" s="56" t="s">
        <v>9</v>
      </c>
      <c r="I771" s="56" t="s">
        <v>10</v>
      </c>
      <c r="J771" s="56">
        <v>44295</v>
      </c>
      <c r="K771" s="56" t="s">
        <v>301</v>
      </c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</row>
    <row r="772" spans="1:47" ht="15.75" customHeight="1">
      <c r="A772" s="38">
        <v>44572.448788240741</v>
      </c>
      <c r="B772" s="69" t="s">
        <v>995</v>
      </c>
      <c r="C772" s="62" t="s">
        <v>150</v>
      </c>
      <c r="D772" s="46" t="s">
        <v>861</v>
      </c>
      <c r="E772" s="70" t="s">
        <v>1170</v>
      </c>
      <c r="F772" s="46" t="s">
        <v>114</v>
      </c>
      <c r="G772" s="56" t="s">
        <v>11</v>
      </c>
      <c r="H772" s="56" t="s">
        <v>9</v>
      </c>
      <c r="I772" s="56" t="s">
        <v>29</v>
      </c>
      <c r="J772" s="56">
        <v>44319</v>
      </c>
      <c r="K772" s="56" t="s">
        <v>298</v>
      </c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</row>
    <row r="773" spans="1:47" ht="15.75" customHeight="1">
      <c r="A773" s="38">
        <v>44573</v>
      </c>
      <c r="B773" s="103" t="s">
        <v>133</v>
      </c>
      <c r="C773" s="62" t="s">
        <v>120</v>
      </c>
      <c r="D773" s="46" t="s">
        <v>54</v>
      </c>
      <c r="E773" s="70">
        <v>9354.08</v>
      </c>
      <c r="F773" s="46" t="s">
        <v>132</v>
      </c>
      <c r="G773" s="56" t="s">
        <v>11</v>
      </c>
      <c r="H773" s="56" t="s">
        <v>12</v>
      </c>
      <c r="I773" s="56" t="s">
        <v>134</v>
      </c>
      <c r="J773" s="56">
        <v>43718</v>
      </c>
      <c r="K773" s="56" t="s">
        <v>302</v>
      </c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</row>
    <row r="774" spans="1:47" ht="15.75" customHeight="1">
      <c r="A774" s="38">
        <v>44573</v>
      </c>
      <c r="B774" s="69" t="s">
        <v>993</v>
      </c>
      <c r="C774" s="62" t="s">
        <v>150</v>
      </c>
      <c r="D774" s="46" t="s">
        <v>861</v>
      </c>
      <c r="E774" s="70">
        <v>3000</v>
      </c>
      <c r="F774" s="46" t="s">
        <v>239</v>
      </c>
      <c r="G774" s="56" t="s">
        <v>11</v>
      </c>
      <c r="H774" s="56" t="s">
        <v>9</v>
      </c>
      <c r="I774" s="56" t="s">
        <v>29</v>
      </c>
      <c r="J774" s="56">
        <v>44322</v>
      </c>
      <c r="K774" s="56" t="s">
        <v>298</v>
      </c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</row>
    <row r="775" spans="1:47" ht="15.75" customHeight="1">
      <c r="A775" s="38">
        <v>44575</v>
      </c>
      <c r="B775" s="93" t="s">
        <v>1171</v>
      </c>
      <c r="C775" s="62" t="s">
        <v>14</v>
      </c>
      <c r="D775" s="46" t="s">
        <v>237</v>
      </c>
      <c r="E775" s="70">
        <v>659874.72</v>
      </c>
      <c r="F775" s="46" t="s">
        <v>485</v>
      </c>
      <c r="G775" s="46" t="s">
        <v>24</v>
      </c>
      <c r="H775" s="46" t="s">
        <v>12</v>
      </c>
      <c r="I775" s="46" t="s">
        <v>336</v>
      </c>
      <c r="J775" s="56">
        <v>44005</v>
      </c>
      <c r="K775" s="46" t="s">
        <v>295</v>
      </c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</row>
    <row r="776" spans="1:47" ht="15.75" customHeight="1">
      <c r="A776" s="38">
        <v>44575</v>
      </c>
      <c r="B776" s="102" t="s">
        <v>146</v>
      </c>
      <c r="C776" s="62" t="s">
        <v>120</v>
      </c>
      <c r="D776" s="46" t="s">
        <v>237</v>
      </c>
      <c r="E776" s="70">
        <v>147515.9</v>
      </c>
      <c r="F776" s="46" t="s">
        <v>145</v>
      </c>
      <c r="G776" s="56" t="s">
        <v>11</v>
      </c>
      <c r="H776" s="56" t="s">
        <v>12</v>
      </c>
      <c r="I776" s="56" t="s">
        <v>125</v>
      </c>
      <c r="J776" s="56">
        <v>43873</v>
      </c>
      <c r="K776" s="56" t="s">
        <v>295</v>
      </c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</row>
    <row r="777" spans="1:47" ht="15.75" customHeight="1">
      <c r="A777" s="38">
        <v>44575</v>
      </c>
      <c r="B777" s="103" t="s">
        <v>975</v>
      </c>
      <c r="C777" s="62" t="s">
        <v>150</v>
      </c>
      <c r="D777" s="46" t="s">
        <v>861</v>
      </c>
      <c r="E777" s="70">
        <v>80000</v>
      </c>
      <c r="F777" s="46" t="s">
        <v>195</v>
      </c>
      <c r="G777" s="56" t="s">
        <v>11</v>
      </c>
      <c r="H777" s="56" t="s">
        <v>9</v>
      </c>
      <c r="I777" s="56" t="s">
        <v>29</v>
      </c>
      <c r="J777" s="56">
        <v>44298</v>
      </c>
      <c r="K777" s="56" t="s">
        <v>298</v>
      </c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</row>
    <row r="778" spans="1:47" ht="15.75" customHeight="1">
      <c r="A778" s="38">
        <v>44575</v>
      </c>
      <c r="B778" s="103" t="s">
        <v>883</v>
      </c>
      <c r="C778" s="62" t="s">
        <v>150</v>
      </c>
      <c r="D778" s="46" t="s">
        <v>861</v>
      </c>
      <c r="E778" s="70">
        <v>5000</v>
      </c>
      <c r="F778" s="46" t="s">
        <v>113</v>
      </c>
      <c r="G778" s="56" t="s">
        <v>107</v>
      </c>
      <c r="H778" s="56" t="s">
        <v>12</v>
      </c>
      <c r="I778" s="56" t="s">
        <v>108</v>
      </c>
      <c r="J778" s="56">
        <v>43894</v>
      </c>
      <c r="K778" s="56" t="s">
        <v>302</v>
      </c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</row>
    <row r="779" spans="1:47" ht="15.75" customHeight="1">
      <c r="A779" s="38">
        <v>44578</v>
      </c>
      <c r="B779" s="103" t="s">
        <v>975</v>
      </c>
      <c r="C779" s="62" t="s">
        <v>150</v>
      </c>
      <c r="D779" s="46" t="s">
        <v>237</v>
      </c>
      <c r="E779" s="70">
        <v>181959.12</v>
      </c>
      <c r="F779" s="46" t="s">
        <v>195</v>
      </c>
      <c r="G779" s="56" t="s">
        <v>11</v>
      </c>
      <c r="H779" s="56" t="s">
        <v>9</v>
      </c>
      <c r="I779" s="56" t="s">
        <v>29</v>
      </c>
      <c r="J779" s="56">
        <v>44298</v>
      </c>
      <c r="K779" s="56" t="s">
        <v>298</v>
      </c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</row>
    <row r="780" spans="1:47" ht="15.75" customHeight="1">
      <c r="A780" s="38">
        <v>44578</v>
      </c>
      <c r="B780" s="91" t="s">
        <v>1172</v>
      </c>
      <c r="C780" s="62" t="s">
        <v>14</v>
      </c>
      <c r="D780" s="46" t="s">
        <v>861</v>
      </c>
      <c r="E780" s="70">
        <v>50000</v>
      </c>
      <c r="F780" s="46" t="s">
        <v>333</v>
      </c>
      <c r="G780" s="46" t="s">
        <v>11</v>
      </c>
      <c r="H780" s="46" t="s">
        <v>12</v>
      </c>
      <c r="I780" s="46" t="s">
        <v>334</v>
      </c>
      <c r="J780" s="56">
        <v>44061</v>
      </c>
      <c r="K780" s="46" t="s">
        <v>298</v>
      </c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</row>
    <row r="781" spans="1:47" ht="15.75" customHeight="1">
      <c r="A781" s="38">
        <v>44578</v>
      </c>
      <c r="B781" s="69" t="s">
        <v>929</v>
      </c>
      <c r="C781" s="62" t="s">
        <v>150</v>
      </c>
      <c r="D781" s="46" t="s">
        <v>861</v>
      </c>
      <c r="E781" s="70">
        <v>10000</v>
      </c>
      <c r="F781" s="46" t="s">
        <v>103</v>
      </c>
      <c r="G781" s="56" t="s">
        <v>11</v>
      </c>
      <c r="H781" s="56" t="s">
        <v>9</v>
      </c>
      <c r="I781" s="56" t="s">
        <v>10</v>
      </c>
      <c r="J781" s="56">
        <v>44295</v>
      </c>
      <c r="K781" s="56" t="s">
        <v>301</v>
      </c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</row>
    <row r="782" spans="1:47" ht="15.75" customHeight="1">
      <c r="A782" s="38">
        <v>44578</v>
      </c>
      <c r="B782" s="69" t="s">
        <v>1173</v>
      </c>
      <c r="C782" s="62" t="s">
        <v>150</v>
      </c>
      <c r="D782" s="46" t="s">
        <v>861</v>
      </c>
      <c r="E782" s="70">
        <v>15000</v>
      </c>
      <c r="F782" s="46" t="s">
        <v>225</v>
      </c>
      <c r="G782" s="56" t="s">
        <v>11</v>
      </c>
      <c r="H782" s="56" t="s">
        <v>9</v>
      </c>
      <c r="I782" s="56" t="s">
        <v>29</v>
      </c>
      <c r="J782" s="56">
        <v>44333</v>
      </c>
      <c r="K782" s="56" t="s">
        <v>302</v>
      </c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</row>
    <row r="783" spans="1:47" ht="15.75" customHeight="1">
      <c r="A783" s="38">
        <v>44578</v>
      </c>
      <c r="B783" s="93" t="s">
        <v>1174</v>
      </c>
      <c r="C783" s="62" t="s">
        <v>14</v>
      </c>
      <c r="D783" s="46" t="s">
        <v>237</v>
      </c>
      <c r="E783" s="70">
        <v>109449.2</v>
      </c>
      <c r="F783" s="46" t="s">
        <v>321</v>
      </c>
      <c r="G783" s="46" t="s">
        <v>24</v>
      </c>
      <c r="H783" s="46" t="s">
        <v>12</v>
      </c>
      <c r="I783" s="46" t="s">
        <v>322</v>
      </c>
      <c r="J783" s="56">
        <v>44202</v>
      </c>
      <c r="K783" s="46" t="s">
        <v>295</v>
      </c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</row>
    <row r="784" spans="1:47" ht="15.75" customHeight="1">
      <c r="A784" s="38">
        <v>44579</v>
      </c>
      <c r="B784" s="91" t="s">
        <v>1079</v>
      </c>
      <c r="C784" s="62" t="s">
        <v>14</v>
      </c>
      <c r="D784" s="46" t="s">
        <v>54</v>
      </c>
      <c r="E784" s="70">
        <v>139991.04000000001</v>
      </c>
      <c r="F784" s="46" t="s">
        <v>1175</v>
      </c>
      <c r="G784" s="46" t="s">
        <v>11</v>
      </c>
      <c r="H784" s="46" t="s">
        <v>17</v>
      </c>
      <c r="I784" s="46" t="s">
        <v>35</v>
      </c>
      <c r="J784" s="56">
        <v>44204</v>
      </c>
      <c r="K784" s="46" t="s">
        <v>343</v>
      </c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</row>
    <row r="785" spans="1:47" ht="15.75" customHeight="1">
      <c r="A785" s="38">
        <v>44579</v>
      </c>
      <c r="B785" s="82">
        <v>7048589</v>
      </c>
      <c r="C785" s="62" t="s">
        <v>14</v>
      </c>
      <c r="D785" s="46" t="s">
        <v>54</v>
      </c>
      <c r="E785" s="70">
        <v>193747.43</v>
      </c>
      <c r="F785" s="46" t="s">
        <v>494</v>
      </c>
      <c r="G785" s="56" t="s">
        <v>11</v>
      </c>
      <c r="H785" s="56" t="s">
        <v>17</v>
      </c>
      <c r="I785" s="56" t="s">
        <v>33</v>
      </c>
      <c r="J785" s="56">
        <v>44508</v>
      </c>
      <c r="K785" s="56" t="s">
        <v>302</v>
      </c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</row>
    <row r="786" spans="1:47" ht="15.75" customHeight="1">
      <c r="A786" s="38">
        <v>44579</v>
      </c>
      <c r="B786" s="91" t="s">
        <v>962</v>
      </c>
      <c r="C786" s="62" t="s">
        <v>14</v>
      </c>
      <c r="D786" s="46" t="s">
        <v>861</v>
      </c>
      <c r="E786" s="70">
        <v>12000</v>
      </c>
      <c r="F786" s="46" t="s">
        <v>520</v>
      </c>
      <c r="G786" s="46" t="s">
        <v>24</v>
      </c>
      <c r="H786" s="46" t="s">
        <v>12</v>
      </c>
      <c r="I786" s="46" t="s">
        <v>434</v>
      </c>
      <c r="J786" s="56">
        <v>44180</v>
      </c>
      <c r="K786" s="46" t="s">
        <v>298</v>
      </c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</row>
    <row r="787" spans="1:47" ht="15.75" customHeight="1">
      <c r="A787" s="38">
        <v>44580</v>
      </c>
      <c r="B787" s="69" t="s">
        <v>1163</v>
      </c>
      <c r="C787" s="62" t="s">
        <v>150</v>
      </c>
      <c r="D787" s="46" t="s">
        <v>237</v>
      </c>
      <c r="E787" s="70">
        <v>0</v>
      </c>
      <c r="F787" s="46" t="s">
        <v>199</v>
      </c>
      <c r="G787" s="56" t="s">
        <v>11</v>
      </c>
      <c r="H787" s="56" t="s">
        <v>9</v>
      </c>
      <c r="I787" s="56" t="s">
        <v>10</v>
      </c>
      <c r="J787" s="56">
        <v>44280</v>
      </c>
      <c r="K787" s="56" t="s">
        <v>295</v>
      </c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</row>
    <row r="788" spans="1:47" ht="15.75" customHeight="1">
      <c r="A788" s="38">
        <v>44580</v>
      </c>
      <c r="B788" s="69" t="s">
        <v>1176</v>
      </c>
      <c r="C788" s="62" t="s">
        <v>150</v>
      </c>
      <c r="D788" s="46" t="s">
        <v>861</v>
      </c>
      <c r="E788" s="70">
        <v>25000</v>
      </c>
      <c r="F788" s="46" t="s">
        <v>106</v>
      </c>
      <c r="G788" s="56" t="s">
        <v>107</v>
      </c>
      <c r="H788" s="56" t="s">
        <v>12</v>
      </c>
      <c r="I788" s="56" t="s">
        <v>108</v>
      </c>
      <c r="J788" s="56">
        <v>43811</v>
      </c>
      <c r="K788" s="56" t="s">
        <v>302</v>
      </c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</row>
    <row r="789" spans="1:47" ht="15.75" customHeight="1">
      <c r="A789" s="38">
        <v>44581</v>
      </c>
      <c r="B789" s="69" t="s">
        <v>1177</v>
      </c>
      <c r="C789" s="62" t="s">
        <v>14</v>
      </c>
      <c r="D789" s="46" t="s">
        <v>54</v>
      </c>
      <c r="E789" s="70">
        <v>13213.29</v>
      </c>
      <c r="F789" s="46" t="s">
        <v>431</v>
      </c>
      <c r="G789" s="37" t="s">
        <v>11</v>
      </c>
      <c r="H789" s="100" t="s">
        <v>17</v>
      </c>
      <c r="I789" s="100" t="s">
        <v>35</v>
      </c>
      <c r="J789" s="101">
        <v>44405</v>
      </c>
      <c r="K789" s="39" t="s">
        <v>298</v>
      </c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</row>
    <row r="790" spans="1:47" ht="15.75" customHeight="1">
      <c r="A790" s="38">
        <v>44581</v>
      </c>
      <c r="B790" s="69" t="s">
        <v>937</v>
      </c>
      <c r="C790" s="62" t="s">
        <v>150</v>
      </c>
      <c r="D790" s="46" t="s">
        <v>861</v>
      </c>
      <c r="E790" s="71">
        <v>13800</v>
      </c>
      <c r="F790" s="46" t="s">
        <v>284</v>
      </c>
      <c r="G790" s="56" t="s">
        <v>107</v>
      </c>
      <c r="H790" s="56" t="s">
        <v>12</v>
      </c>
      <c r="I790" s="56" t="s">
        <v>153</v>
      </c>
      <c r="J790" s="56">
        <v>43822</v>
      </c>
      <c r="K790" s="56" t="s">
        <v>302</v>
      </c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</row>
    <row r="791" spans="1:47" ht="15.75" customHeight="1">
      <c r="A791" s="38">
        <v>44581</v>
      </c>
      <c r="B791" s="69" t="s">
        <v>882</v>
      </c>
      <c r="C791" s="62" t="s">
        <v>150</v>
      </c>
      <c r="D791" s="46" t="s">
        <v>237</v>
      </c>
      <c r="E791" s="71">
        <v>3800</v>
      </c>
      <c r="F791" s="46" t="s">
        <v>280</v>
      </c>
      <c r="G791" s="56" t="s">
        <v>107</v>
      </c>
      <c r="H791" s="56" t="s">
        <v>12</v>
      </c>
      <c r="I791" s="56" t="s">
        <v>108</v>
      </c>
      <c r="J791" s="56">
        <v>43717</v>
      </c>
      <c r="K791" s="56" t="s">
        <v>382</v>
      </c>
      <c r="L791" s="75"/>
      <c r="M791" s="75"/>
      <c r="N791" s="7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</row>
    <row r="792" spans="1:47" ht="15.75" customHeight="1">
      <c r="A792" s="38">
        <v>44581</v>
      </c>
      <c r="B792" s="69" t="s">
        <v>1142</v>
      </c>
      <c r="C792" s="62" t="s">
        <v>150</v>
      </c>
      <c r="D792" s="46" t="s">
        <v>54</v>
      </c>
      <c r="E792" s="70">
        <v>11926.38</v>
      </c>
      <c r="F792" s="46" t="s">
        <v>170</v>
      </c>
      <c r="G792" s="56" t="s">
        <v>107</v>
      </c>
      <c r="H792" s="56" t="s">
        <v>12</v>
      </c>
      <c r="I792" s="56" t="s">
        <v>108</v>
      </c>
      <c r="J792" s="56">
        <v>43769</v>
      </c>
      <c r="K792" s="56" t="s">
        <v>302</v>
      </c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</row>
    <row r="793" spans="1:47" ht="15.75" customHeight="1">
      <c r="A793" s="38">
        <v>44582</v>
      </c>
      <c r="B793" s="69" t="s">
        <v>933</v>
      </c>
      <c r="C793" s="62" t="s">
        <v>150</v>
      </c>
      <c r="D793" s="46" t="s">
        <v>54</v>
      </c>
      <c r="E793" s="70">
        <v>219739.11</v>
      </c>
      <c r="F793" s="46" t="s">
        <v>229</v>
      </c>
      <c r="G793" s="56" t="s">
        <v>11</v>
      </c>
      <c r="H793" s="56" t="s">
        <v>9</v>
      </c>
      <c r="I793" s="56" t="s">
        <v>10</v>
      </c>
      <c r="J793" s="56">
        <v>44319</v>
      </c>
      <c r="K793" s="56" t="s">
        <v>298</v>
      </c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</row>
    <row r="794" spans="1:47" ht="15.75" customHeight="1">
      <c r="A794" s="38">
        <v>44582</v>
      </c>
      <c r="B794" s="61" t="s">
        <v>869</v>
      </c>
      <c r="C794" s="62" t="s">
        <v>150</v>
      </c>
      <c r="D794" s="46" t="s">
        <v>861</v>
      </c>
      <c r="E794" s="70">
        <v>3000</v>
      </c>
      <c r="F794" s="46" t="s">
        <v>101</v>
      </c>
      <c r="G794" s="56" t="s">
        <v>107</v>
      </c>
      <c r="H794" s="56" t="s">
        <v>12</v>
      </c>
      <c r="I794" s="56" t="s">
        <v>108</v>
      </c>
      <c r="J794" s="56">
        <v>43605</v>
      </c>
      <c r="K794" s="56" t="s">
        <v>302</v>
      </c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</row>
    <row r="795" spans="1:47" ht="15.75" customHeight="1">
      <c r="A795" s="38">
        <v>44582</v>
      </c>
      <c r="B795" s="69" t="s">
        <v>991</v>
      </c>
      <c r="C795" s="62" t="s">
        <v>150</v>
      </c>
      <c r="D795" s="46" t="s">
        <v>861</v>
      </c>
      <c r="E795" s="70">
        <v>30000</v>
      </c>
      <c r="F795" s="46" t="s">
        <v>226</v>
      </c>
      <c r="G795" s="56" t="s">
        <v>11</v>
      </c>
      <c r="H795" s="56" t="s">
        <v>9</v>
      </c>
      <c r="I795" s="56" t="s">
        <v>29</v>
      </c>
      <c r="J795" s="56">
        <v>44280</v>
      </c>
      <c r="K795" s="56" t="s">
        <v>298</v>
      </c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</row>
    <row r="796" spans="1:47" ht="15.75" customHeight="1">
      <c r="A796" s="38">
        <v>44582</v>
      </c>
      <c r="B796" s="69" t="s">
        <v>1056</v>
      </c>
      <c r="C796" s="62" t="s">
        <v>150</v>
      </c>
      <c r="D796" s="46" t="s">
        <v>861</v>
      </c>
      <c r="E796" s="70">
        <v>10000</v>
      </c>
      <c r="F796" s="46" t="s">
        <v>291</v>
      </c>
      <c r="G796" s="56" t="s">
        <v>11</v>
      </c>
      <c r="H796" s="56" t="s">
        <v>9</v>
      </c>
      <c r="I796" s="56" t="s">
        <v>98</v>
      </c>
      <c r="J796" s="56">
        <v>44267</v>
      </c>
      <c r="K796" s="56" t="s">
        <v>298</v>
      </c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</row>
    <row r="797" spans="1:47" ht="15.75" customHeight="1">
      <c r="A797" s="38">
        <v>44582</v>
      </c>
      <c r="B797" s="12">
        <v>7082227</v>
      </c>
      <c r="C797" s="62" t="s">
        <v>14</v>
      </c>
      <c r="D797" s="46" t="s">
        <v>861</v>
      </c>
      <c r="E797" s="70">
        <v>25000</v>
      </c>
      <c r="F797" s="46" t="s">
        <v>420</v>
      </c>
      <c r="G797" s="56" t="s">
        <v>11</v>
      </c>
      <c r="H797" s="56" t="s">
        <v>17</v>
      </c>
      <c r="I797" s="56" t="s">
        <v>510</v>
      </c>
      <c r="J797" s="56">
        <v>44511</v>
      </c>
      <c r="K797" s="56" t="s">
        <v>298</v>
      </c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</row>
    <row r="798" spans="1:47" ht="15.75" customHeight="1">
      <c r="A798" s="38">
        <v>44582</v>
      </c>
      <c r="B798" s="95" t="s">
        <v>1139</v>
      </c>
      <c r="C798" s="62" t="s">
        <v>14</v>
      </c>
      <c r="D798" s="46" t="s">
        <v>861</v>
      </c>
      <c r="E798" s="70">
        <v>10000</v>
      </c>
      <c r="F798" s="46" t="s">
        <v>1178</v>
      </c>
      <c r="G798" s="46" t="s">
        <v>11</v>
      </c>
      <c r="H798" s="46" t="s">
        <v>12</v>
      </c>
      <c r="I798" s="46" t="s">
        <v>125</v>
      </c>
      <c r="J798" s="56">
        <v>44399</v>
      </c>
      <c r="K798" s="46" t="s">
        <v>1179</v>
      </c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</row>
    <row r="799" spans="1:47" ht="15.75" customHeight="1">
      <c r="A799" s="56">
        <v>44586</v>
      </c>
      <c r="B799" s="57" t="s">
        <v>1180</v>
      </c>
      <c r="C799" s="46" t="s">
        <v>14</v>
      </c>
      <c r="D799" s="46" t="s">
        <v>54</v>
      </c>
      <c r="E799" s="58">
        <v>142585.32</v>
      </c>
      <c r="F799" s="46" t="s">
        <v>494</v>
      </c>
      <c r="G799" s="46" t="s">
        <v>11</v>
      </c>
      <c r="H799" s="46" t="s">
        <v>17</v>
      </c>
      <c r="I799" s="82" t="s">
        <v>33</v>
      </c>
      <c r="J799" s="104">
        <v>44508</v>
      </c>
      <c r="K799" s="46" t="s">
        <v>302</v>
      </c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</row>
    <row r="800" spans="1:47" ht="15.75" customHeight="1">
      <c r="A800" s="56">
        <v>44592</v>
      </c>
      <c r="B800" s="57" t="s">
        <v>1181</v>
      </c>
      <c r="C800" s="46" t="s">
        <v>14</v>
      </c>
      <c r="D800" s="46" t="s">
        <v>861</v>
      </c>
      <c r="E800" s="58">
        <v>3500</v>
      </c>
      <c r="F800" s="46" t="s">
        <v>347</v>
      </c>
      <c r="G800" s="46" t="s">
        <v>11</v>
      </c>
      <c r="H800" s="46" t="s">
        <v>17</v>
      </c>
      <c r="I800" s="82" t="s">
        <v>28</v>
      </c>
      <c r="J800" s="104">
        <v>44523</v>
      </c>
      <c r="K800" s="46" t="s">
        <v>301</v>
      </c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</row>
    <row r="801" spans="1:47" ht="15.75" customHeight="1">
      <c r="A801" s="60">
        <v>44592</v>
      </c>
      <c r="B801" s="89" t="s">
        <v>992</v>
      </c>
      <c r="C801" s="62" t="s">
        <v>150</v>
      </c>
      <c r="D801" s="46" t="s">
        <v>237</v>
      </c>
      <c r="E801" s="70" t="s">
        <v>1182</v>
      </c>
      <c r="F801" s="46" t="s">
        <v>164</v>
      </c>
      <c r="G801" s="56" t="s">
        <v>11</v>
      </c>
      <c r="H801" s="56" t="s">
        <v>9</v>
      </c>
      <c r="I801" s="56" t="s">
        <v>29</v>
      </c>
      <c r="J801" s="56">
        <v>44295</v>
      </c>
      <c r="K801" s="56" t="s">
        <v>295</v>
      </c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</row>
    <row r="802" spans="1:47" ht="15.75" customHeight="1">
      <c r="A802" s="56">
        <v>44593</v>
      </c>
      <c r="B802" s="57" t="s">
        <v>962</v>
      </c>
      <c r="C802" s="46" t="s">
        <v>14</v>
      </c>
      <c r="D802" s="46" t="s">
        <v>861</v>
      </c>
      <c r="E802" s="58">
        <v>11000</v>
      </c>
      <c r="F802" s="46" t="s">
        <v>520</v>
      </c>
      <c r="G802" s="46" t="s">
        <v>24</v>
      </c>
      <c r="H802" s="46" t="s">
        <v>12</v>
      </c>
      <c r="I802" s="82" t="s">
        <v>434</v>
      </c>
      <c r="J802" s="104">
        <v>44180</v>
      </c>
      <c r="K802" s="46" t="s">
        <v>298</v>
      </c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</row>
    <row r="803" spans="1:47" ht="15.75" customHeight="1">
      <c r="A803" s="56">
        <v>44601</v>
      </c>
      <c r="B803" s="82" t="s">
        <v>1183</v>
      </c>
      <c r="C803" s="46" t="s">
        <v>14</v>
      </c>
      <c r="D803" s="46" t="s">
        <v>861</v>
      </c>
      <c r="E803" s="58">
        <v>25000</v>
      </c>
      <c r="F803" s="46" t="s">
        <v>69</v>
      </c>
      <c r="G803" s="37" t="s">
        <v>11</v>
      </c>
      <c r="H803" s="37" t="s">
        <v>12</v>
      </c>
      <c r="I803" s="37" t="s">
        <v>1184</v>
      </c>
      <c r="J803" s="80">
        <v>44594</v>
      </c>
      <c r="K803" s="46" t="s">
        <v>301</v>
      </c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</row>
    <row r="804" spans="1:47" ht="15.75" customHeight="1">
      <c r="A804" s="56">
        <v>44606</v>
      </c>
      <c r="B804" s="57" t="s">
        <v>1185</v>
      </c>
      <c r="C804" s="46" t="s">
        <v>14</v>
      </c>
      <c r="D804" s="46" t="s">
        <v>861</v>
      </c>
      <c r="E804" s="58">
        <v>45000</v>
      </c>
      <c r="F804" s="46" t="s">
        <v>294</v>
      </c>
      <c r="G804" s="46" t="s">
        <v>11</v>
      </c>
      <c r="H804" s="46" t="s">
        <v>12</v>
      </c>
      <c r="I804" s="82" t="s">
        <v>130</v>
      </c>
      <c r="J804" s="104">
        <v>44482</v>
      </c>
      <c r="K804" s="46" t="s">
        <v>295</v>
      </c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</row>
    <row r="805" spans="1:47" ht="15.75" customHeight="1">
      <c r="A805" s="56">
        <v>44609</v>
      </c>
      <c r="B805" s="57" t="s">
        <v>962</v>
      </c>
      <c r="C805" s="46" t="s">
        <v>14</v>
      </c>
      <c r="D805" s="46" t="s">
        <v>861</v>
      </c>
      <c r="E805" s="58">
        <v>10000</v>
      </c>
      <c r="F805" s="46" t="s">
        <v>520</v>
      </c>
      <c r="G805" s="46" t="s">
        <v>24</v>
      </c>
      <c r="H805" s="37" t="s">
        <v>12</v>
      </c>
      <c r="I805" s="82" t="s">
        <v>434</v>
      </c>
      <c r="J805" s="104">
        <v>44180</v>
      </c>
      <c r="K805" s="46" t="s">
        <v>298</v>
      </c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</row>
    <row r="806" spans="1:47" ht="15.75" customHeight="1">
      <c r="A806" s="56">
        <v>44622</v>
      </c>
      <c r="B806" s="12">
        <v>858723</v>
      </c>
      <c r="C806" s="12" t="s">
        <v>150</v>
      </c>
      <c r="D806" s="46" t="s">
        <v>861</v>
      </c>
      <c r="E806" s="71">
        <v>25000</v>
      </c>
      <c r="F806" s="12" t="s">
        <v>279</v>
      </c>
      <c r="G806" s="37" t="s">
        <v>11</v>
      </c>
      <c r="H806" s="46" t="s">
        <v>9</v>
      </c>
      <c r="I806" s="46" t="s">
        <v>10</v>
      </c>
      <c r="J806" s="77">
        <v>44585</v>
      </c>
      <c r="K806" s="82" t="s">
        <v>301</v>
      </c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</row>
    <row r="807" spans="1:47" ht="15.75" customHeight="1">
      <c r="A807" s="56">
        <v>44622</v>
      </c>
      <c r="B807" s="12">
        <v>328970</v>
      </c>
      <c r="C807" s="12" t="s">
        <v>150</v>
      </c>
      <c r="D807" s="46" t="s">
        <v>861</v>
      </c>
      <c r="E807" s="71">
        <v>106000</v>
      </c>
      <c r="F807" s="39" t="s">
        <v>102</v>
      </c>
      <c r="G807" s="37" t="s">
        <v>11</v>
      </c>
      <c r="H807" s="46" t="s">
        <v>9</v>
      </c>
      <c r="I807" s="46" t="s">
        <v>29</v>
      </c>
      <c r="J807" s="77">
        <v>44277</v>
      </c>
      <c r="K807" s="82" t="s">
        <v>295</v>
      </c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</row>
    <row r="808" spans="1:47" ht="15.75" customHeight="1">
      <c r="A808" s="56">
        <v>44622</v>
      </c>
      <c r="B808" s="57" t="s">
        <v>1186</v>
      </c>
      <c r="C808" s="12" t="s">
        <v>150</v>
      </c>
      <c r="D808" s="46" t="s">
        <v>861</v>
      </c>
      <c r="E808" s="71">
        <v>100000</v>
      </c>
      <c r="F808" s="46" t="s">
        <v>1187</v>
      </c>
      <c r="G808" s="37" t="s">
        <v>11</v>
      </c>
      <c r="H808" s="46" t="s">
        <v>9</v>
      </c>
      <c r="I808" s="46" t="s">
        <v>29</v>
      </c>
      <c r="J808" s="56">
        <v>44448</v>
      </c>
      <c r="K808" s="46" t="s">
        <v>295</v>
      </c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</row>
    <row r="809" spans="1:47" ht="15.75" customHeight="1">
      <c r="A809" s="56">
        <v>44622</v>
      </c>
      <c r="B809" s="12">
        <v>330028</v>
      </c>
      <c r="C809" s="12" t="s">
        <v>150</v>
      </c>
      <c r="D809" s="46" t="s">
        <v>861</v>
      </c>
      <c r="E809" s="58">
        <v>500</v>
      </c>
      <c r="F809" s="46" t="s">
        <v>39</v>
      </c>
      <c r="G809" s="37" t="s">
        <v>11</v>
      </c>
      <c r="H809" s="46" t="s">
        <v>9</v>
      </c>
      <c r="I809" s="46" t="s">
        <v>10</v>
      </c>
      <c r="J809" s="56">
        <v>44263</v>
      </c>
      <c r="K809" s="46" t="s">
        <v>298</v>
      </c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</row>
    <row r="810" spans="1:47" ht="15.75" customHeight="1">
      <c r="A810" s="56">
        <v>44627</v>
      </c>
      <c r="B810" s="95" t="s">
        <v>941</v>
      </c>
      <c r="C810" s="46" t="s">
        <v>14</v>
      </c>
      <c r="D810" s="46" t="s">
        <v>861</v>
      </c>
      <c r="E810" s="71">
        <v>8000</v>
      </c>
      <c r="F810" s="46" t="s">
        <v>313</v>
      </c>
      <c r="G810" s="46" t="s">
        <v>107</v>
      </c>
      <c r="H810" s="46" t="s">
        <v>198</v>
      </c>
      <c r="I810" s="46" t="s">
        <v>107</v>
      </c>
      <c r="J810" s="56">
        <v>44180</v>
      </c>
      <c r="K810" s="46" t="s">
        <v>298</v>
      </c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</row>
    <row r="811" spans="1:47" ht="15.75" customHeight="1">
      <c r="A811" s="56">
        <v>44627</v>
      </c>
      <c r="B811" s="12">
        <v>4345500</v>
      </c>
      <c r="C811" s="12" t="s">
        <v>150</v>
      </c>
      <c r="D811" s="46" t="s">
        <v>861</v>
      </c>
      <c r="E811" s="71">
        <v>7500</v>
      </c>
      <c r="F811" s="46" t="s">
        <v>206</v>
      </c>
      <c r="G811" s="46" t="s">
        <v>107</v>
      </c>
      <c r="H811" s="56"/>
      <c r="I811" s="46" t="s">
        <v>107</v>
      </c>
      <c r="J811" s="56">
        <v>43703</v>
      </c>
      <c r="K811" s="46" t="s">
        <v>382</v>
      </c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</row>
    <row r="812" spans="1:47" ht="15.75" customHeight="1">
      <c r="A812" s="81">
        <v>44628</v>
      </c>
      <c r="B812" s="69" t="s">
        <v>932</v>
      </c>
      <c r="C812" s="12" t="s">
        <v>14</v>
      </c>
      <c r="D812" s="82" t="s">
        <v>861</v>
      </c>
      <c r="E812" s="83">
        <v>5000</v>
      </c>
      <c r="F812" s="82" t="s">
        <v>415</v>
      </c>
      <c r="G812" s="82" t="s">
        <v>24</v>
      </c>
      <c r="H812" s="82" t="s">
        <v>12</v>
      </c>
      <c r="I812" s="82" t="s">
        <v>316</v>
      </c>
      <c r="J812" s="81">
        <v>44263</v>
      </c>
      <c r="K812" s="12" t="s">
        <v>298</v>
      </c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</row>
    <row r="813" spans="1:47" ht="15.75" customHeight="1">
      <c r="A813" s="56">
        <v>44630</v>
      </c>
      <c r="B813" s="57" t="s">
        <v>1005</v>
      </c>
      <c r="C813" s="12" t="s">
        <v>150</v>
      </c>
      <c r="D813" s="46" t="s">
        <v>861</v>
      </c>
      <c r="E813" s="71">
        <v>40000</v>
      </c>
      <c r="F813" s="46" t="s">
        <v>61</v>
      </c>
      <c r="G813" s="46" t="s">
        <v>11</v>
      </c>
      <c r="H813" s="46" t="s">
        <v>9</v>
      </c>
      <c r="I813" s="46" t="s">
        <v>10</v>
      </c>
      <c r="J813" s="56">
        <v>44319</v>
      </c>
      <c r="K813" s="46" t="s">
        <v>298</v>
      </c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</row>
    <row r="814" spans="1:47" ht="15.75" customHeight="1">
      <c r="A814" s="56">
        <v>44630</v>
      </c>
      <c r="B814" s="57" t="s">
        <v>1188</v>
      </c>
      <c r="C814" s="12" t="s">
        <v>150</v>
      </c>
      <c r="D814" s="46" t="s">
        <v>861</v>
      </c>
      <c r="E814" s="71">
        <v>25000</v>
      </c>
      <c r="F814" s="46" t="s">
        <v>279</v>
      </c>
      <c r="G814" s="46" t="s">
        <v>11</v>
      </c>
      <c r="H814" s="46" t="s">
        <v>9</v>
      </c>
      <c r="I814" s="46" t="s">
        <v>10</v>
      </c>
      <c r="J814" s="56">
        <v>44585</v>
      </c>
      <c r="K814" s="46" t="s">
        <v>301</v>
      </c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</row>
    <row r="815" spans="1:47" ht="15.75" customHeight="1">
      <c r="A815" s="56">
        <v>44630</v>
      </c>
      <c r="B815" s="57" t="s">
        <v>1189</v>
      </c>
      <c r="C815" s="12" t="s">
        <v>150</v>
      </c>
      <c r="D815" s="46" t="s">
        <v>861</v>
      </c>
      <c r="E815" s="58">
        <v>16000</v>
      </c>
      <c r="F815" s="46" t="s">
        <v>85</v>
      </c>
      <c r="G815" s="46" t="s">
        <v>11</v>
      </c>
      <c r="H815" s="46" t="s">
        <v>9</v>
      </c>
      <c r="I815" s="37" t="s">
        <v>29</v>
      </c>
      <c r="J815" s="56">
        <v>44462</v>
      </c>
      <c r="K815" s="46" t="s">
        <v>304</v>
      </c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</row>
    <row r="816" spans="1:47" ht="15.75" customHeight="1">
      <c r="A816" s="56">
        <v>44630</v>
      </c>
      <c r="B816" s="12">
        <v>391760</v>
      </c>
      <c r="C816" s="12" t="s">
        <v>150</v>
      </c>
      <c r="D816" s="46" t="s">
        <v>237</v>
      </c>
      <c r="E816" s="58">
        <v>31234</v>
      </c>
      <c r="F816" s="12" t="s">
        <v>267</v>
      </c>
      <c r="G816" s="37" t="s">
        <v>107</v>
      </c>
      <c r="H816" s="37" t="s">
        <v>12</v>
      </c>
      <c r="I816" s="46" t="s">
        <v>153</v>
      </c>
      <c r="J816" s="56">
        <v>43865</v>
      </c>
      <c r="K816" s="46" t="s">
        <v>298</v>
      </c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</row>
    <row r="817" spans="1:47" ht="15.75" customHeight="1">
      <c r="A817" s="56">
        <v>44630</v>
      </c>
      <c r="B817" s="57" t="s">
        <v>1190</v>
      </c>
      <c r="C817" s="12" t="s">
        <v>150</v>
      </c>
      <c r="D817" s="46" t="s">
        <v>861</v>
      </c>
      <c r="E817" s="58">
        <v>10000</v>
      </c>
      <c r="F817" s="46" t="s">
        <v>49</v>
      </c>
      <c r="G817" s="46" t="s">
        <v>11</v>
      </c>
      <c r="H817" s="46" t="s">
        <v>9</v>
      </c>
      <c r="I817" s="46" t="s">
        <v>10</v>
      </c>
      <c r="J817" s="56">
        <v>44607</v>
      </c>
      <c r="K817" s="46" t="s">
        <v>301</v>
      </c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</row>
    <row r="818" spans="1:47" ht="15.75" customHeight="1">
      <c r="A818" s="56">
        <v>44630</v>
      </c>
      <c r="B818" s="57" t="s">
        <v>1176</v>
      </c>
      <c r="C818" s="12" t="s">
        <v>150</v>
      </c>
      <c r="D818" s="46" t="s">
        <v>861</v>
      </c>
      <c r="E818" s="58">
        <v>20000</v>
      </c>
      <c r="F818" s="46" t="s">
        <v>1191</v>
      </c>
      <c r="G818" s="46" t="s">
        <v>107</v>
      </c>
      <c r="H818" s="46" t="s">
        <v>12</v>
      </c>
      <c r="I818" s="46" t="s">
        <v>108</v>
      </c>
      <c r="J818" s="56">
        <v>43811</v>
      </c>
      <c r="K818" s="46" t="s">
        <v>302</v>
      </c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</row>
    <row r="819" spans="1:47" ht="15.75" customHeight="1">
      <c r="A819" s="56">
        <v>44634</v>
      </c>
      <c r="B819" s="72" t="s">
        <v>1192</v>
      </c>
      <c r="C819" s="46" t="s">
        <v>14</v>
      </c>
      <c r="D819" s="46" t="s">
        <v>861</v>
      </c>
      <c r="E819" s="58">
        <v>73500</v>
      </c>
      <c r="F819" s="46" t="s">
        <v>308</v>
      </c>
      <c r="G819" s="37" t="s">
        <v>11</v>
      </c>
      <c r="H819" s="46" t="s">
        <v>17</v>
      </c>
      <c r="I819" s="46" t="s">
        <v>26</v>
      </c>
      <c r="J819" s="56">
        <v>44609</v>
      </c>
      <c r="K819" s="82" t="s">
        <v>302</v>
      </c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</row>
    <row r="820" spans="1:47" ht="15.75" customHeight="1">
      <c r="A820" s="56">
        <v>44634</v>
      </c>
      <c r="B820" s="57" t="s">
        <v>1193</v>
      </c>
      <c r="C820" s="12" t="s">
        <v>150</v>
      </c>
      <c r="D820" s="46" t="s">
        <v>237</v>
      </c>
      <c r="E820" s="58">
        <v>229216</v>
      </c>
      <c r="F820" s="46" t="s">
        <v>159</v>
      </c>
      <c r="G820" s="46" t="s">
        <v>107</v>
      </c>
      <c r="H820" s="46" t="s">
        <v>12</v>
      </c>
      <c r="I820" s="46" t="s">
        <v>153</v>
      </c>
      <c r="J820" s="56">
        <v>44186</v>
      </c>
      <c r="K820" s="46" t="s">
        <v>298</v>
      </c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</row>
    <row r="821" spans="1:47" ht="15.75" customHeight="1">
      <c r="A821" s="56">
        <v>44634</v>
      </c>
      <c r="B821" s="57" t="s">
        <v>1194</v>
      </c>
      <c r="C821" s="12" t="s">
        <v>150</v>
      </c>
      <c r="D821" s="46" t="s">
        <v>54</v>
      </c>
      <c r="E821" s="58">
        <v>184170</v>
      </c>
      <c r="F821" s="46" t="s">
        <v>259</v>
      </c>
      <c r="G821" s="46" t="s">
        <v>11</v>
      </c>
      <c r="H821" s="46" t="s">
        <v>9</v>
      </c>
      <c r="I821" s="46" t="s">
        <v>10</v>
      </c>
      <c r="J821" s="56">
        <v>44280</v>
      </c>
      <c r="K821" s="46" t="s">
        <v>295</v>
      </c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</row>
    <row r="822" spans="1:47" ht="15.75" customHeight="1">
      <c r="A822" s="56">
        <v>44634</v>
      </c>
      <c r="B822" s="106">
        <v>4663340</v>
      </c>
      <c r="C822" s="12" t="s">
        <v>150</v>
      </c>
      <c r="D822" s="46" t="s">
        <v>54</v>
      </c>
      <c r="E822" s="58">
        <v>237755</v>
      </c>
      <c r="F822" s="107" t="s">
        <v>258</v>
      </c>
      <c r="G822" s="46" t="s">
        <v>11</v>
      </c>
      <c r="H822" s="46" t="s">
        <v>9</v>
      </c>
      <c r="I822" s="46" t="s">
        <v>10</v>
      </c>
      <c r="J822" s="56">
        <v>44280</v>
      </c>
      <c r="K822" s="46" t="s">
        <v>304</v>
      </c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</row>
    <row r="823" spans="1:47" ht="15.75" customHeight="1">
      <c r="A823" s="56">
        <v>44634</v>
      </c>
      <c r="B823" s="57" t="s">
        <v>1154</v>
      </c>
      <c r="C823" s="12" t="s">
        <v>150</v>
      </c>
      <c r="D823" s="46" t="s">
        <v>861</v>
      </c>
      <c r="E823" s="58">
        <v>63000</v>
      </c>
      <c r="F823" s="107" t="s">
        <v>222</v>
      </c>
      <c r="G823" s="46" t="s">
        <v>11</v>
      </c>
      <c r="H823" s="46" t="s">
        <v>9</v>
      </c>
      <c r="I823" s="46" t="s">
        <v>10</v>
      </c>
      <c r="J823" s="56">
        <v>44263</v>
      </c>
      <c r="K823" s="46" t="s">
        <v>298</v>
      </c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</row>
    <row r="824" spans="1:47" ht="15.75" customHeight="1">
      <c r="A824" s="56">
        <v>44634</v>
      </c>
      <c r="B824" s="57" t="s">
        <v>993</v>
      </c>
      <c r="C824" s="12" t="s">
        <v>150</v>
      </c>
      <c r="D824" s="46" t="s">
        <v>861</v>
      </c>
      <c r="E824" s="58">
        <v>3000</v>
      </c>
      <c r="F824" s="46" t="s">
        <v>239</v>
      </c>
      <c r="G824" s="46" t="s">
        <v>11</v>
      </c>
      <c r="H824" s="46" t="s">
        <v>9</v>
      </c>
      <c r="I824" s="46" t="s">
        <v>10</v>
      </c>
      <c r="J824" s="56">
        <v>44322</v>
      </c>
      <c r="K824" s="46" t="s">
        <v>298</v>
      </c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</row>
    <row r="825" spans="1:47" ht="15.75" customHeight="1">
      <c r="A825" s="56">
        <v>44634</v>
      </c>
      <c r="B825" s="57" t="s">
        <v>1186</v>
      </c>
      <c r="C825" s="12" t="s">
        <v>150</v>
      </c>
      <c r="D825" s="46" t="s">
        <v>54</v>
      </c>
      <c r="E825" s="58">
        <v>285598</v>
      </c>
      <c r="F825" s="12" t="s">
        <v>245</v>
      </c>
      <c r="G825" s="46" t="s">
        <v>11</v>
      </c>
      <c r="H825" s="46" t="s">
        <v>9</v>
      </c>
      <c r="I825" s="46" t="s">
        <v>10</v>
      </c>
      <c r="J825" s="56">
        <v>44448</v>
      </c>
      <c r="K825" s="46" t="s">
        <v>295</v>
      </c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</row>
    <row r="826" spans="1:47" ht="15.75" customHeight="1">
      <c r="A826" s="56">
        <v>44634</v>
      </c>
      <c r="B826" s="57" t="s">
        <v>1176</v>
      </c>
      <c r="C826" s="12" t="s">
        <v>150</v>
      </c>
      <c r="D826" s="46" t="s">
        <v>861</v>
      </c>
      <c r="E826" s="58">
        <v>15000</v>
      </c>
      <c r="F826" s="46" t="s">
        <v>1191</v>
      </c>
      <c r="G826" s="46" t="s">
        <v>107</v>
      </c>
      <c r="H826" s="46" t="s">
        <v>12</v>
      </c>
      <c r="I826" s="46" t="s">
        <v>108</v>
      </c>
      <c r="J826" s="56">
        <v>43811</v>
      </c>
      <c r="K826" s="46" t="s">
        <v>302</v>
      </c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</row>
    <row r="827" spans="1:47" ht="15.75" customHeight="1">
      <c r="A827" s="60">
        <v>44634</v>
      </c>
      <c r="B827" s="89" t="s">
        <v>1195</v>
      </c>
      <c r="C827" s="62" t="s">
        <v>150</v>
      </c>
      <c r="D827" s="46" t="s">
        <v>237</v>
      </c>
      <c r="E827" s="70"/>
      <c r="F827" s="46" t="s">
        <v>274</v>
      </c>
      <c r="G827" s="56" t="s">
        <v>11</v>
      </c>
      <c r="H827" s="56" t="s">
        <v>9</v>
      </c>
      <c r="I827" s="56" t="s">
        <v>98</v>
      </c>
      <c r="J827" s="56">
        <v>44199</v>
      </c>
      <c r="K827" s="56" t="s">
        <v>302</v>
      </c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</row>
    <row r="828" spans="1:47" ht="15.75" customHeight="1">
      <c r="A828" s="56">
        <v>44636</v>
      </c>
      <c r="B828" s="57" t="s">
        <v>995</v>
      </c>
      <c r="C828" s="12" t="s">
        <v>150</v>
      </c>
      <c r="D828" s="46" t="s">
        <v>861</v>
      </c>
      <c r="E828" s="58">
        <v>10000</v>
      </c>
      <c r="F828" s="12" t="s">
        <v>114</v>
      </c>
      <c r="G828" s="46" t="s">
        <v>11</v>
      </c>
      <c r="H828" s="46" t="s">
        <v>9</v>
      </c>
      <c r="I828" s="46" t="s">
        <v>10</v>
      </c>
      <c r="J828" s="56">
        <v>44319</v>
      </c>
      <c r="K828" s="46" t="s">
        <v>298</v>
      </c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</row>
    <row r="829" spans="1:47" ht="15.75" customHeight="1">
      <c r="A829" s="56">
        <v>44636</v>
      </c>
      <c r="B829" s="57" t="s">
        <v>1176</v>
      </c>
      <c r="C829" s="12" t="s">
        <v>150</v>
      </c>
      <c r="D829" s="46" t="s">
        <v>861</v>
      </c>
      <c r="E829" s="58">
        <v>20000</v>
      </c>
      <c r="F829" s="46" t="s">
        <v>1191</v>
      </c>
      <c r="G829" s="46" t="s">
        <v>107</v>
      </c>
      <c r="H829" s="46" t="s">
        <v>12</v>
      </c>
      <c r="I829" s="46" t="s">
        <v>108</v>
      </c>
      <c r="J829" s="56">
        <v>43811</v>
      </c>
      <c r="K829" s="46" t="s">
        <v>302</v>
      </c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</row>
    <row r="830" spans="1:47" ht="15.75" customHeight="1">
      <c r="A830" s="56">
        <v>44636</v>
      </c>
      <c r="B830" s="57" t="s">
        <v>1026</v>
      </c>
      <c r="C830" s="12" t="s">
        <v>150</v>
      </c>
      <c r="D830" s="46" t="s">
        <v>861</v>
      </c>
      <c r="E830" s="58">
        <v>1000000</v>
      </c>
      <c r="F830" s="46" t="s">
        <v>244</v>
      </c>
      <c r="G830" s="46" t="s">
        <v>11</v>
      </c>
      <c r="H830" s="46" t="s">
        <v>9</v>
      </c>
      <c r="I830" s="46" t="s">
        <v>10</v>
      </c>
      <c r="J830" s="56">
        <v>44321</v>
      </c>
      <c r="K830" s="46" t="s">
        <v>301</v>
      </c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</row>
    <row r="831" spans="1:47" ht="15.75" customHeight="1">
      <c r="A831" s="56">
        <v>44637</v>
      </c>
      <c r="B831" s="72" t="s">
        <v>1196</v>
      </c>
      <c r="C831" s="46" t="s">
        <v>14</v>
      </c>
      <c r="D831" s="46" t="s">
        <v>861</v>
      </c>
      <c r="E831" s="58">
        <v>7000</v>
      </c>
      <c r="F831" s="46" t="s">
        <v>437</v>
      </c>
      <c r="G831" s="37" t="s">
        <v>11</v>
      </c>
      <c r="H831" s="46" t="s">
        <v>17</v>
      </c>
      <c r="I831" s="46" t="s">
        <v>26</v>
      </c>
      <c r="J831" s="56">
        <v>44615</v>
      </c>
      <c r="K831" s="82" t="s">
        <v>298</v>
      </c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</row>
    <row r="832" spans="1:47" ht="15.75" customHeight="1">
      <c r="A832" s="56">
        <v>44641</v>
      </c>
      <c r="B832" s="69" t="s">
        <v>1197</v>
      </c>
      <c r="C832" s="46" t="s">
        <v>14</v>
      </c>
      <c r="D832" s="46" t="s">
        <v>54</v>
      </c>
      <c r="E832" s="58">
        <v>100351.65</v>
      </c>
      <c r="F832" s="46" t="s">
        <v>378</v>
      </c>
      <c r="G832" s="37" t="s">
        <v>11</v>
      </c>
      <c r="H832" s="37" t="s">
        <v>12</v>
      </c>
      <c r="I832" s="46" t="s">
        <v>1198</v>
      </c>
      <c r="J832" s="80">
        <v>44365</v>
      </c>
      <c r="K832" s="12" t="s">
        <v>309</v>
      </c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</row>
    <row r="833" spans="1:47" ht="15.75" customHeight="1">
      <c r="A833" s="56">
        <v>44641</v>
      </c>
      <c r="B833" s="69" t="s">
        <v>1199</v>
      </c>
      <c r="C833" s="46" t="s">
        <v>14</v>
      </c>
      <c r="D833" s="46" t="s">
        <v>54</v>
      </c>
      <c r="E833" s="58">
        <v>169950.33</v>
      </c>
      <c r="F833" s="12" t="s">
        <v>529</v>
      </c>
      <c r="G833" s="37" t="s">
        <v>11</v>
      </c>
      <c r="H833" s="37" t="s">
        <v>76</v>
      </c>
      <c r="I833" s="37" t="s">
        <v>778</v>
      </c>
      <c r="J833" s="80">
        <v>44298</v>
      </c>
      <c r="K833" s="39" t="s">
        <v>298</v>
      </c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</row>
    <row r="834" spans="1:47" ht="15.75" customHeight="1">
      <c r="A834" s="56">
        <v>44641</v>
      </c>
      <c r="B834" s="37">
        <v>226343</v>
      </c>
      <c r="C834" s="46" t="s">
        <v>14</v>
      </c>
      <c r="D834" s="46" t="s">
        <v>54</v>
      </c>
      <c r="E834" s="58">
        <v>103307.43</v>
      </c>
      <c r="F834" s="46" t="s">
        <v>569</v>
      </c>
      <c r="G834" s="37" t="s">
        <v>11</v>
      </c>
      <c r="H834" s="46" t="s">
        <v>17</v>
      </c>
      <c r="I834" s="37" t="s">
        <v>369</v>
      </c>
      <c r="J834" s="56">
        <v>44469</v>
      </c>
      <c r="K834" s="12" t="s">
        <v>295</v>
      </c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</row>
    <row r="835" spans="1:47" ht="15.75" customHeight="1">
      <c r="A835" s="56">
        <v>44641</v>
      </c>
      <c r="B835" s="82">
        <v>6986262</v>
      </c>
      <c r="C835" s="46" t="s">
        <v>14</v>
      </c>
      <c r="D835" s="46" t="s">
        <v>861</v>
      </c>
      <c r="E835" s="58">
        <v>25000</v>
      </c>
      <c r="F835" s="46" t="s">
        <v>398</v>
      </c>
      <c r="G835" s="37" t="s">
        <v>11</v>
      </c>
      <c r="H835" s="46" t="s">
        <v>17</v>
      </c>
      <c r="I835" s="46" t="s">
        <v>369</v>
      </c>
      <c r="J835" s="56">
        <v>44503</v>
      </c>
      <c r="K835" s="12" t="s">
        <v>309</v>
      </c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</row>
    <row r="836" spans="1:47" ht="15.75" customHeight="1">
      <c r="A836" s="56">
        <v>44641</v>
      </c>
      <c r="B836" s="72" t="s">
        <v>1200</v>
      </c>
      <c r="C836" s="46" t="s">
        <v>14</v>
      </c>
      <c r="D836" s="46" t="s">
        <v>54</v>
      </c>
      <c r="E836" s="58">
        <v>175092.43</v>
      </c>
      <c r="F836" s="46" t="s">
        <v>406</v>
      </c>
      <c r="G836" s="37" t="s">
        <v>24</v>
      </c>
      <c r="H836" s="37" t="s">
        <v>12</v>
      </c>
      <c r="I836" s="37" t="s">
        <v>128</v>
      </c>
      <c r="J836" s="56">
        <v>44075</v>
      </c>
      <c r="K836" s="82" t="s">
        <v>298</v>
      </c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</row>
    <row r="837" spans="1:47" ht="15.75" customHeight="1">
      <c r="A837" s="56">
        <v>44643</v>
      </c>
      <c r="B837" s="72" t="s">
        <v>1201</v>
      </c>
      <c r="C837" s="46" t="s">
        <v>14</v>
      </c>
      <c r="D837" s="46" t="s">
        <v>54</v>
      </c>
      <c r="E837" s="58">
        <v>101496.62</v>
      </c>
      <c r="F837" s="46" t="s">
        <v>565</v>
      </c>
      <c r="G837" s="37" t="s">
        <v>24</v>
      </c>
      <c r="H837" s="46" t="s">
        <v>76</v>
      </c>
      <c r="I837" s="46" t="s">
        <v>778</v>
      </c>
      <c r="J837" s="56">
        <v>44256</v>
      </c>
      <c r="K837" s="82" t="s">
        <v>295</v>
      </c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</row>
    <row r="838" spans="1:47" ht="15.75" customHeight="1">
      <c r="A838" s="56">
        <v>44644</v>
      </c>
      <c r="B838" s="57" t="s">
        <v>1167</v>
      </c>
      <c r="C838" s="12" t="s">
        <v>150</v>
      </c>
      <c r="D838" s="46" t="s">
        <v>861</v>
      </c>
      <c r="E838" s="58">
        <v>10000</v>
      </c>
      <c r="F838" s="46" t="s">
        <v>197</v>
      </c>
      <c r="G838" s="46" t="s">
        <v>11</v>
      </c>
      <c r="H838" s="46" t="s">
        <v>9</v>
      </c>
      <c r="I838" s="46" t="s">
        <v>10</v>
      </c>
      <c r="J838" s="56">
        <v>44280</v>
      </c>
      <c r="K838" s="46" t="s">
        <v>295</v>
      </c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</row>
    <row r="839" spans="1:47" ht="15.75" customHeight="1">
      <c r="A839" s="56">
        <v>44644</v>
      </c>
      <c r="B839" s="57" t="s">
        <v>1195</v>
      </c>
      <c r="C839" s="12" t="s">
        <v>150</v>
      </c>
      <c r="D839" s="46" t="s">
        <v>54</v>
      </c>
      <c r="E839" s="58">
        <v>117357</v>
      </c>
      <c r="F839" s="46" t="s">
        <v>274</v>
      </c>
      <c r="G839" s="46" t="s">
        <v>11</v>
      </c>
      <c r="H839" s="46" t="s">
        <v>9</v>
      </c>
      <c r="I839" s="46" t="s">
        <v>98</v>
      </c>
      <c r="J839" s="56">
        <v>44330</v>
      </c>
      <c r="K839" s="46" t="s">
        <v>302</v>
      </c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</row>
    <row r="840" spans="1:47" ht="15.75" customHeight="1">
      <c r="A840" s="56">
        <v>44644</v>
      </c>
      <c r="B840" s="57" t="s">
        <v>1202</v>
      </c>
      <c r="C840" s="12" t="s">
        <v>150</v>
      </c>
      <c r="D840" s="46" t="s">
        <v>861</v>
      </c>
      <c r="E840" s="58">
        <v>19000</v>
      </c>
      <c r="F840" s="46" t="s">
        <v>64</v>
      </c>
      <c r="G840" s="46" t="s">
        <v>11</v>
      </c>
      <c r="H840" s="46" t="s">
        <v>9</v>
      </c>
      <c r="I840" s="46" t="s">
        <v>98</v>
      </c>
      <c r="J840" s="56">
        <v>44263</v>
      </c>
      <c r="K840" s="46" t="s">
        <v>298</v>
      </c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</row>
    <row r="841" spans="1:47" ht="15.75" customHeight="1">
      <c r="A841" s="56">
        <v>44644</v>
      </c>
      <c r="B841" s="57" t="s">
        <v>1203</v>
      </c>
      <c r="C841" s="12" t="s">
        <v>150</v>
      </c>
      <c r="D841" s="46" t="s">
        <v>861</v>
      </c>
      <c r="E841" s="58">
        <v>14000</v>
      </c>
      <c r="F841" s="46" t="s">
        <v>1204</v>
      </c>
      <c r="G841" s="46" t="s">
        <v>107</v>
      </c>
      <c r="H841" s="46" t="s">
        <v>12</v>
      </c>
      <c r="I841" s="46" t="s">
        <v>108</v>
      </c>
      <c r="J841" s="56">
        <v>43605</v>
      </c>
      <c r="K841" s="46" t="s">
        <v>304</v>
      </c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</row>
    <row r="842" spans="1:47" ht="15.75" customHeight="1">
      <c r="A842" s="56">
        <v>44644</v>
      </c>
      <c r="B842" s="57" t="s">
        <v>1099</v>
      </c>
      <c r="C842" s="12" t="s">
        <v>150</v>
      </c>
      <c r="D842" s="46" t="s">
        <v>861</v>
      </c>
      <c r="E842" s="58">
        <v>5000</v>
      </c>
      <c r="F842" s="46" t="s">
        <v>40</v>
      </c>
      <c r="G842" s="46" t="s">
        <v>11</v>
      </c>
      <c r="H842" s="46" t="s">
        <v>9</v>
      </c>
      <c r="I842" s="46" t="s">
        <v>10</v>
      </c>
      <c r="J842" s="56">
        <v>44421</v>
      </c>
      <c r="K842" s="46" t="s">
        <v>298</v>
      </c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</row>
    <row r="843" spans="1:47" ht="15.75" customHeight="1">
      <c r="A843" s="56">
        <v>44644</v>
      </c>
      <c r="B843" s="57" t="s">
        <v>1188</v>
      </c>
      <c r="C843" s="12" t="s">
        <v>150</v>
      </c>
      <c r="D843" s="46" t="s">
        <v>861</v>
      </c>
      <c r="E843" s="58">
        <v>25000</v>
      </c>
      <c r="F843" s="46" t="s">
        <v>279</v>
      </c>
      <c r="G843" s="46" t="s">
        <v>11</v>
      </c>
      <c r="H843" s="46" t="s">
        <v>9</v>
      </c>
      <c r="I843" s="46" t="s">
        <v>10</v>
      </c>
      <c r="J843" s="56">
        <v>44585</v>
      </c>
      <c r="K843" s="46" t="s">
        <v>301</v>
      </c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</row>
    <row r="844" spans="1:47" ht="15.75" customHeight="1">
      <c r="A844" s="56">
        <v>44644</v>
      </c>
      <c r="B844" s="57" t="s">
        <v>1205</v>
      </c>
      <c r="C844" s="12" t="s">
        <v>150</v>
      </c>
      <c r="D844" s="46" t="s">
        <v>861</v>
      </c>
      <c r="E844" s="58">
        <v>300000</v>
      </c>
      <c r="F844" s="46" t="s">
        <v>66</v>
      </c>
      <c r="G844" s="46" t="s">
        <v>11</v>
      </c>
      <c r="H844" s="46" t="s">
        <v>9</v>
      </c>
      <c r="I844" s="46" t="s">
        <v>10</v>
      </c>
      <c r="J844" s="56"/>
      <c r="K844" s="46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</row>
    <row r="845" spans="1:47" ht="15.75" customHeight="1">
      <c r="A845" s="56">
        <v>44648</v>
      </c>
      <c r="B845" s="72" t="s">
        <v>1183</v>
      </c>
      <c r="C845" s="46" t="s">
        <v>14</v>
      </c>
      <c r="D845" s="46" t="s">
        <v>861</v>
      </c>
      <c r="E845" s="58">
        <v>15000</v>
      </c>
      <c r="F845" s="46" t="s">
        <v>69</v>
      </c>
      <c r="G845" s="37" t="s">
        <v>11</v>
      </c>
      <c r="H845" s="37" t="s">
        <v>12</v>
      </c>
      <c r="I845" s="37" t="s">
        <v>1184</v>
      </c>
      <c r="J845" s="56">
        <v>44594</v>
      </c>
      <c r="K845" s="82" t="s">
        <v>301</v>
      </c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</row>
    <row r="846" spans="1:47" ht="15.75" customHeight="1">
      <c r="A846" s="56">
        <v>44648</v>
      </c>
      <c r="B846" s="91" t="s">
        <v>1008</v>
      </c>
      <c r="C846" s="46" t="s">
        <v>14</v>
      </c>
      <c r="D846" s="46" t="s">
        <v>54</v>
      </c>
      <c r="E846" s="58">
        <v>2232</v>
      </c>
      <c r="F846" s="39" t="s">
        <v>60</v>
      </c>
      <c r="G846" s="37" t="s">
        <v>24</v>
      </c>
      <c r="H846" s="37" t="s">
        <v>12</v>
      </c>
      <c r="I846" s="37" t="s">
        <v>365</v>
      </c>
      <c r="J846" s="77">
        <v>44145</v>
      </c>
      <c r="K846" s="82" t="s">
        <v>295</v>
      </c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</row>
    <row r="847" spans="1:47" ht="15.75" customHeight="1">
      <c r="A847" s="56">
        <v>44650</v>
      </c>
      <c r="B847" s="91" t="s">
        <v>1206</v>
      </c>
      <c r="C847" s="46" t="s">
        <v>14</v>
      </c>
      <c r="D847" s="46" t="s">
        <v>237</v>
      </c>
      <c r="E847" s="58">
        <v>129000</v>
      </c>
      <c r="F847" s="39" t="s">
        <v>497</v>
      </c>
      <c r="G847" s="37" t="s">
        <v>24</v>
      </c>
      <c r="H847" s="46" t="s">
        <v>76</v>
      </c>
      <c r="I847" s="37" t="s">
        <v>772</v>
      </c>
      <c r="J847" s="77">
        <v>44216</v>
      </c>
      <c r="K847" s="82" t="s">
        <v>295</v>
      </c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</row>
    <row r="848" spans="1:47" ht="15.75" customHeight="1">
      <c r="A848" s="56">
        <v>44650</v>
      </c>
      <c r="B848" s="91" t="s">
        <v>1207</v>
      </c>
      <c r="C848" s="46" t="s">
        <v>14</v>
      </c>
      <c r="D848" s="46" t="s">
        <v>237</v>
      </c>
      <c r="E848" s="58">
        <v>630477</v>
      </c>
      <c r="F848" s="39" t="s">
        <v>497</v>
      </c>
      <c r="G848" s="37" t="s">
        <v>24</v>
      </c>
      <c r="H848" s="46" t="s">
        <v>76</v>
      </c>
      <c r="I848" s="37" t="s">
        <v>772</v>
      </c>
      <c r="J848" s="77">
        <v>44207</v>
      </c>
      <c r="K848" s="82" t="s">
        <v>309</v>
      </c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</row>
    <row r="849" spans="1:47" ht="15.75" customHeight="1">
      <c r="A849" s="56">
        <v>44650</v>
      </c>
      <c r="B849" s="91" t="s">
        <v>1208</v>
      </c>
      <c r="C849" s="46" t="s">
        <v>14</v>
      </c>
      <c r="D849" s="46" t="s">
        <v>237</v>
      </c>
      <c r="E849" s="58">
        <v>152856.49</v>
      </c>
      <c r="F849" s="12" t="s">
        <v>362</v>
      </c>
      <c r="G849" s="37" t="s">
        <v>24</v>
      </c>
      <c r="H849" s="46" t="s">
        <v>76</v>
      </c>
      <c r="I849" s="37" t="s">
        <v>772</v>
      </c>
      <c r="J849" s="77">
        <v>44385</v>
      </c>
      <c r="K849" s="82" t="s">
        <v>295</v>
      </c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</row>
    <row r="850" spans="1:47" ht="15.75" customHeight="1">
      <c r="A850" s="56">
        <v>44650</v>
      </c>
      <c r="B850" s="57" t="s">
        <v>1209</v>
      </c>
      <c r="C850" s="12" t="s">
        <v>14</v>
      </c>
      <c r="D850" s="46" t="s">
        <v>861</v>
      </c>
      <c r="E850" s="58">
        <v>22140.93</v>
      </c>
      <c r="F850" s="46" t="s">
        <v>1210</v>
      </c>
      <c r="G850" s="46" t="s">
        <v>11</v>
      </c>
      <c r="H850" s="46" t="s">
        <v>17</v>
      </c>
      <c r="I850" s="46" t="s">
        <v>26</v>
      </c>
      <c r="J850" s="56">
        <v>44656</v>
      </c>
      <c r="K850" s="46" t="s">
        <v>298</v>
      </c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</row>
    <row r="851" spans="1:47" ht="15.75" customHeight="1">
      <c r="A851" s="56">
        <v>44651</v>
      </c>
      <c r="B851" s="91" t="s">
        <v>1211</v>
      </c>
      <c r="C851" s="46" t="s">
        <v>14</v>
      </c>
      <c r="D851" s="46" t="s">
        <v>237</v>
      </c>
      <c r="E851" s="58">
        <v>230428.79</v>
      </c>
      <c r="F851" s="108" t="s">
        <v>570</v>
      </c>
      <c r="G851" s="37" t="s">
        <v>24</v>
      </c>
      <c r="H851" s="46" t="s">
        <v>76</v>
      </c>
      <c r="I851" s="37" t="s">
        <v>772</v>
      </c>
      <c r="J851" s="77">
        <v>44294</v>
      </c>
      <c r="K851" s="82" t="s">
        <v>295</v>
      </c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</row>
    <row r="852" spans="1:47" ht="15.75" customHeight="1">
      <c r="A852" s="56">
        <v>44651</v>
      </c>
      <c r="B852" s="72" t="s">
        <v>1212</v>
      </c>
      <c r="C852" s="46" t="s">
        <v>14</v>
      </c>
      <c r="D852" s="46" t="s">
        <v>237</v>
      </c>
      <c r="E852" s="58">
        <v>281890.89</v>
      </c>
      <c r="F852" s="46" t="s">
        <v>396</v>
      </c>
      <c r="G852" s="37" t="s">
        <v>11</v>
      </c>
      <c r="H852" s="37" t="s">
        <v>17</v>
      </c>
      <c r="I852" s="37" t="s">
        <v>35</v>
      </c>
      <c r="J852" s="56">
        <v>44300</v>
      </c>
      <c r="K852" s="82" t="s">
        <v>298</v>
      </c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</row>
    <row r="853" spans="1:47" ht="15.75" customHeight="1">
      <c r="A853" s="56">
        <v>44651</v>
      </c>
      <c r="B853" s="57">
        <v>804771</v>
      </c>
      <c r="C853" s="12" t="s">
        <v>150</v>
      </c>
      <c r="D853" s="46" t="s">
        <v>54</v>
      </c>
      <c r="E853" s="58">
        <v>84500</v>
      </c>
      <c r="F853" s="46" t="s">
        <v>252</v>
      </c>
      <c r="G853" s="46" t="s">
        <v>104</v>
      </c>
      <c r="H853" s="46" t="s">
        <v>12</v>
      </c>
      <c r="I853" s="46" t="s">
        <v>104</v>
      </c>
      <c r="J853" s="56">
        <v>43441</v>
      </c>
      <c r="K853" s="46" t="s">
        <v>304</v>
      </c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</row>
    <row r="854" spans="1:47" ht="15.75" customHeight="1">
      <c r="A854" s="56">
        <v>44651</v>
      </c>
      <c r="B854" s="57" t="s">
        <v>1004</v>
      </c>
      <c r="C854" s="12" t="s">
        <v>150</v>
      </c>
      <c r="D854" s="46" t="s">
        <v>54</v>
      </c>
      <c r="E854" s="58">
        <v>32277</v>
      </c>
      <c r="F854" s="46" t="s">
        <v>156</v>
      </c>
      <c r="G854" s="46" t="s">
        <v>107</v>
      </c>
      <c r="H854" s="46" t="s">
        <v>12</v>
      </c>
      <c r="I854" s="46" t="s">
        <v>108</v>
      </c>
      <c r="J854" s="56">
        <v>43753</v>
      </c>
      <c r="K854" s="46" t="s">
        <v>298</v>
      </c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</row>
    <row r="855" spans="1:47" ht="15.75" customHeight="1">
      <c r="A855" s="56">
        <v>44652</v>
      </c>
      <c r="B855" s="57" t="s">
        <v>993</v>
      </c>
      <c r="C855" s="12" t="s">
        <v>150</v>
      </c>
      <c r="D855" s="46" t="s">
        <v>237</v>
      </c>
      <c r="E855" s="58">
        <v>15091.06</v>
      </c>
      <c r="F855" s="46" t="s">
        <v>239</v>
      </c>
      <c r="G855" s="46" t="s">
        <v>11</v>
      </c>
      <c r="H855" s="46" t="s">
        <v>9</v>
      </c>
      <c r="I855" s="46" t="s">
        <v>29</v>
      </c>
      <c r="J855" s="56">
        <v>44322</v>
      </c>
      <c r="K855" s="56" t="s">
        <v>298</v>
      </c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</row>
    <row r="856" spans="1:47" ht="15.75" customHeight="1">
      <c r="A856" s="56">
        <v>44652</v>
      </c>
      <c r="B856" s="57" t="s">
        <v>1192</v>
      </c>
      <c r="C856" s="12" t="s">
        <v>14</v>
      </c>
      <c r="D856" s="46" t="s">
        <v>861</v>
      </c>
      <c r="E856" s="58">
        <v>31400</v>
      </c>
      <c r="F856" s="46" t="s">
        <v>308</v>
      </c>
      <c r="G856" s="46" t="s">
        <v>11</v>
      </c>
      <c r="H856" s="46" t="s">
        <v>17</v>
      </c>
      <c r="I856" s="56" t="s">
        <v>26</v>
      </c>
      <c r="J856" s="56">
        <v>44609</v>
      </c>
      <c r="K856" s="46" t="s">
        <v>302</v>
      </c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</row>
    <row r="857" spans="1:47" ht="15.75" customHeight="1">
      <c r="A857" s="56">
        <v>44655</v>
      </c>
      <c r="B857" s="57" t="s">
        <v>928</v>
      </c>
      <c r="C857" s="12" t="s">
        <v>150</v>
      </c>
      <c r="D857" s="46" t="s">
        <v>861</v>
      </c>
      <c r="E857" s="58">
        <v>40000</v>
      </c>
      <c r="F857" s="12" t="s">
        <v>1213</v>
      </c>
      <c r="G857" s="46" t="s">
        <v>11</v>
      </c>
      <c r="H857" s="46" t="s">
        <v>9</v>
      </c>
      <c r="I857" s="46" t="s">
        <v>10</v>
      </c>
      <c r="J857" s="56">
        <v>44321</v>
      </c>
      <c r="K857" s="46" t="s">
        <v>298</v>
      </c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</row>
    <row r="858" spans="1:47" ht="15.75" customHeight="1">
      <c r="A858" s="56">
        <v>44656</v>
      </c>
      <c r="B858" s="57" t="s">
        <v>1214</v>
      </c>
      <c r="C858" s="12" t="s">
        <v>14</v>
      </c>
      <c r="D858" s="46" t="s">
        <v>237</v>
      </c>
      <c r="E858" s="58">
        <v>171724.96</v>
      </c>
      <c r="F858" s="46" t="s">
        <v>472</v>
      </c>
      <c r="G858" s="46" t="s">
        <v>11</v>
      </c>
      <c r="H858" s="46" t="s">
        <v>17</v>
      </c>
      <c r="I858" s="56" t="s">
        <v>35</v>
      </c>
      <c r="J858" s="56">
        <v>44274</v>
      </c>
      <c r="K858" s="46" t="s">
        <v>298</v>
      </c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</row>
    <row r="859" spans="1:47" ht="15.75" customHeight="1">
      <c r="A859" s="56">
        <v>44656</v>
      </c>
      <c r="B859" s="57" t="s">
        <v>1188</v>
      </c>
      <c r="C859" s="12" t="s">
        <v>150</v>
      </c>
      <c r="D859" s="46" t="s">
        <v>861</v>
      </c>
      <c r="E859" s="58">
        <v>25000</v>
      </c>
      <c r="F859" s="12" t="s">
        <v>1215</v>
      </c>
      <c r="G859" s="46" t="s">
        <v>11</v>
      </c>
      <c r="H859" s="46" t="s">
        <v>9</v>
      </c>
      <c r="I859" s="46" t="s">
        <v>10</v>
      </c>
      <c r="J859" s="56">
        <v>44263</v>
      </c>
      <c r="K859" s="46" t="s">
        <v>302</v>
      </c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</row>
    <row r="860" spans="1:47" ht="15.75" customHeight="1">
      <c r="A860" s="56">
        <v>44657</v>
      </c>
      <c r="B860" s="57" t="s">
        <v>1216</v>
      </c>
      <c r="C860" s="12" t="s">
        <v>14</v>
      </c>
      <c r="D860" s="46" t="s">
        <v>237</v>
      </c>
      <c r="E860" s="58">
        <v>221711.79</v>
      </c>
      <c r="F860" s="46" t="s">
        <v>339</v>
      </c>
      <c r="G860" s="46" t="s">
        <v>11</v>
      </c>
      <c r="H860" s="46" t="s">
        <v>76</v>
      </c>
      <c r="I860" s="56" t="s">
        <v>772</v>
      </c>
      <c r="J860" s="56">
        <v>44252</v>
      </c>
      <c r="K860" s="46" t="s">
        <v>295</v>
      </c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</row>
    <row r="861" spans="1:47" ht="15.75" customHeight="1">
      <c r="A861" s="56">
        <v>44657</v>
      </c>
      <c r="B861" s="57" t="s">
        <v>1217</v>
      </c>
      <c r="C861" s="12" t="s">
        <v>150</v>
      </c>
      <c r="D861" s="46" t="s">
        <v>861</v>
      </c>
      <c r="E861" s="58">
        <v>31000</v>
      </c>
      <c r="F861" s="12" t="s">
        <v>1218</v>
      </c>
      <c r="G861" s="46" t="s">
        <v>11</v>
      </c>
      <c r="H861" s="46" t="s">
        <v>9</v>
      </c>
      <c r="I861" s="46" t="s">
        <v>29</v>
      </c>
      <c r="J861" s="56">
        <v>44382</v>
      </c>
      <c r="K861" s="46" t="s">
        <v>295</v>
      </c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</row>
    <row r="862" spans="1:47" ht="15.75" customHeight="1">
      <c r="A862" s="56">
        <v>44658</v>
      </c>
      <c r="B862" s="57" t="s">
        <v>1219</v>
      </c>
      <c r="C862" s="12" t="s">
        <v>150</v>
      </c>
      <c r="D862" s="46" t="s">
        <v>861</v>
      </c>
      <c r="E862" s="58">
        <v>105000</v>
      </c>
      <c r="F862" s="46" t="s">
        <v>59</v>
      </c>
      <c r="G862" s="46" t="s">
        <v>11</v>
      </c>
      <c r="H862" s="46" t="s">
        <v>9</v>
      </c>
      <c r="I862" s="56" t="s">
        <v>45</v>
      </c>
      <c r="J862" s="56">
        <v>44677</v>
      </c>
      <c r="K862" s="46" t="s">
        <v>301</v>
      </c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</row>
    <row r="863" spans="1:47" ht="15.75" customHeight="1">
      <c r="A863" s="56">
        <v>44658</v>
      </c>
      <c r="B863" s="57" t="s">
        <v>1183</v>
      </c>
      <c r="C863" s="12" t="s">
        <v>14</v>
      </c>
      <c r="D863" s="46" t="s">
        <v>861</v>
      </c>
      <c r="E863" s="58">
        <v>25000</v>
      </c>
      <c r="F863" s="46" t="s">
        <v>69</v>
      </c>
      <c r="G863" s="46" t="s">
        <v>11</v>
      </c>
      <c r="H863" s="46" t="s">
        <v>12</v>
      </c>
      <c r="I863" s="56" t="s">
        <v>512</v>
      </c>
      <c r="J863" s="56">
        <v>44594</v>
      </c>
      <c r="K863" s="46" t="s">
        <v>301</v>
      </c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</row>
    <row r="864" spans="1:47" ht="15.75" customHeight="1">
      <c r="A864" s="56">
        <v>44658</v>
      </c>
      <c r="B864" s="57" t="s">
        <v>1220</v>
      </c>
      <c r="C864" s="12" t="s">
        <v>150</v>
      </c>
      <c r="D864" s="46" t="s">
        <v>861</v>
      </c>
      <c r="E864" s="58">
        <v>15000</v>
      </c>
      <c r="F864" s="12" t="s">
        <v>194</v>
      </c>
      <c r="G864" s="46" t="s">
        <v>11</v>
      </c>
      <c r="H864" s="46" t="s">
        <v>9</v>
      </c>
      <c r="I864" s="46" t="s">
        <v>29</v>
      </c>
      <c r="J864" s="56">
        <v>44602</v>
      </c>
      <c r="K864" s="46" t="s">
        <v>298</v>
      </c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</row>
    <row r="865" spans="1:47" ht="15.75" customHeight="1">
      <c r="A865" s="56">
        <v>44658</v>
      </c>
      <c r="B865" s="57" t="s">
        <v>991</v>
      </c>
      <c r="C865" s="12" t="s">
        <v>150</v>
      </c>
      <c r="D865" s="46" t="s">
        <v>861</v>
      </c>
      <c r="E865" s="58">
        <v>24500</v>
      </c>
      <c r="F865" s="12" t="s">
        <v>1221</v>
      </c>
      <c r="G865" s="46" t="s">
        <v>11</v>
      </c>
      <c r="H865" s="46" t="s">
        <v>9</v>
      </c>
      <c r="I865" s="46" t="s">
        <v>29</v>
      </c>
      <c r="J865" s="56">
        <v>44439</v>
      </c>
      <c r="K865" s="46" t="s">
        <v>302</v>
      </c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</row>
    <row r="866" spans="1:47" ht="15.75" customHeight="1">
      <c r="A866" s="60">
        <v>44658</v>
      </c>
      <c r="B866" s="89" t="s">
        <v>1222</v>
      </c>
      <c r="C866" s="62" t="s">
        <v>150</v>
      </c>
      <c r="D866" s="46" t="s">
        <v>237</v>
      </c>
      <c r="E866" s="70" t="s">
        <v>1223</v>
      </c>
      <c r="F866" s="46" t="s">
        <v>232</v>
      </c>
      <c r="G866" s="56" t="s">
        <v>11</v>
      </c>
      <c r="H866" s="56" t="s">
        <v>9</v>
      </c>
      <c r="I866" s="56" t="s">
        <v>29</v>
      </c>
      <c r="J866" s="56">
        <v>44440</v>
      </c>
      <c r="K866" s="56" t="s">
        <v>298</v>
      </c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</row>
    <row r="867" spans="1:47" ht="15.75" customHeight="1">
      <c r="A867" s="56">
        <v>44659</v>
      </c>
      <c r="B867" s="57" t="s">
        <v>1224</v>
      </c>
      <c r="C867" s="12" t="s">
        <v>14</v>
      </c>
      <c r="D867" s="46" t="s">
        <v>237</v>
      </c>
      <c r="E867" s="58">
        <v>2966054.05</v>
      </c>
      <c r="F867" s="46" t="s">
        <v>342</v>
      </c>
      <c r="G867" s="46" t="s">
        <v>11</v>
      </c>
      <c r="H867" s="46" t="s">
        <v>76</v>
      </c>
      <c r="I867" s="56" t="s">
        <v>772</v>
      </c>
      <c r="J867" s="56">
        <v>44426</v>
      </c>
      <c r="K867" s="46" t="s">
        <v>344</v>
      </c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</row>
    <row r="868" spans="1:47" ht="15.75" customHeight="1">
      <c r="A868" s="56">
        <v>44659</v>
      </c>
      <c r="B868" s="57" t="s">
        <v>1079</v>
      </c>
      <c r="C868" s="12" t="s">
        <v>14</v>
      </c>
      <c r="D868" s="46" t="s">
        <v>237</v>
      </c>
      <c r="E868" s="58">
        <v>2132.5500000000002</v>
      </c>
      <c r="F868" s="46" t="s">
        <v>342</v>
      </c>
      <c r="G868" s="46" t="s">
        <v>11</v>
      </c>
      <c r="H868" s="46" t="s">
        <v>76</v>
      </c>
      <c r="I868" s="56" t="s">
        <v>772</v>
      </c>
      <c r="J868" s="56">
        <v>44204</v>
      </c>
      <c r="K868" s="46" t="s">
        <v>343</v>
      </c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</row>
    <row r="869" spans="1:47" ht="15.75" customHeight="1">
      <c r="A869" s="56">
        <v>44659</v>
      </c>
      <c r="B869" s="57" t="s">
        <v>1000</v>
      </c>
      <c r="C869" s="12" t="s">
        <v>14</v>
      </c>
      <c r="D869" s="46" t="s">
        <v>237</v>
      </c>
      <c r="E869" s="58">
        <v>2832.67</v>
      </c>
      <c r="F869" s="46" t="s">
        <v>330</v>
      </c>
      <c r="G869" s="46" t="s">
        <v>11</v>
      </c>
      <c r="H869" s="46" t="s">
        <v>76</v>
      </c>
      <c r="I869" s="56" t="s">
        <v>772</v>
      </c>
      <c r="J869" s="56">
        <v>44298</v>
      </c>
      <c r="K869" s="46" t="s">
        <v>302</v>
      </c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</row>
    <row r="870" spans="1:47" ht="15.75" customHeight="1">
      <c r="A870" s="56">
        <v>44659</v>
      </c>
      <c r="B870" s="57" t="s">
        <v>1225</v>
      </c>
      <c r="C870" s="12" t="s">
        <v>14</v>
      </c>
      <c r="D870" s="46" t="s">
        <v>237</v>
      </c>
      <c r="E870" s="58">
        <v>815208.64</v>
      </c>
      <c r="F870" s="46" t="s">
        <v>353</v>
      </c>
      <c r="G870" s="46" t="s">
        <v>11</v>
      </c>
      <c r="H870" s="46" t="s">
        <v>17</v>
      </c>
      <c r="I870" s="56" t="s">
        <v>772</v>
      </c>
      <c r="J870" s="56">
        <v>44445</v>
      </c>
      <c r="K870" s="46" t="s">
        <v>344</v>
      </c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</row>
    <row r="871" spans="1:47" ht="15.75" customHeight="1">
      <c r="A871" s="56">
        <v>44662</v>
      </c>
      <c r="B871" s="57" t="s">
        <v>127</v>
      </c>
      <c r="C871" s="12" t="s">
        <v>120</v>
      </c>
      <c r="D871" s="46" t="s">
        <v>861</v>
      </c>
      <c r="E871" s="58">
        <v>3000</v>
      </c>
      <c r="F871" s="46" t="s">
        <v>126</v>
      </c>
      <c r="G871" s="46" t="s">
        <v>11</v>
      </c>
      <c r="H871" s="46" t="s">
        <v>11</v>
      </c>
      <c r="I871" s="56" t="s">
        <v>765</v>
      </c>
      <c r="J871" s="56">
        <v>44062</v>
      </c>
      <c r="K871" s="46" t="s">
        <v>298</v>
      </c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</row>
    <row r="872" spans="1:47" ht="15.75" customHeight="1">
      <c r="A872" s="56">
        <v>44662</v>
      </c>
      <c r="B872" s="57" t="s">
        <v>1195</v>
      </c>
      <c r="C872" s="12" t="s">
        <v>150</v>
      </c>
      <c r="D872" s="46" t="s">
        <v>54</v>
      </c>
      <c r="E872" s="58">
        <v>119000</v>
      </c>
      <c r="F872" s="12" t="s">
        <v>274</v>
      </c>
      <c r="G872" s="46" t="s">
        <v>11</v>
      </c>
      <c r="H872" s="46" t="s">
        <v>9</v>
      </c>
      <c r="I872" s="46" t="s">
        <v>98</v>
      </c>
      <c r="J872" s="56">
        <v>44199</v>
      </c>
      <c r="K872" s="56" t="s">
        <v>302</v>
      </c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</row>
    <row r="873" spans="1:47" ht="15.75" customHeight="1">
      <c r="A873" s="56">
        <v>44663</v>
      </c>
      <c r="B873" s="57" t="s">
        <v>1226</v>
      </c>
      <c r="C873" s="12" t="s">
        <v>14</v>
      </c>
      <c r="D873" s="46" t="s">
        <v>861</v>
      </c>
      <c r="E873" s="58">
        <v>50000</v>
      </c>
      <c r="F873" s="12" t="s">
        <v>77</v>
      </c>
      <c r="G873" s="46" t="s">
        <v>11</v>
      </c>
      <c r="H873" s="46" t="s">
        <v>17</v>
      </c>
      <c r="I873" s="46" t="s">
        <v>26</v>
      </c>
      <c r="J873" s="56">
        <v>44614</v>
      </c>
      <c r="K873" s="46" t="s">
        <v>298</v>
      </c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</row>
    <row r="874" spans="1:47" ht="15.75" customHeight="1">
      <c r="A874" s="56">
        <v>44663</v>
      </c>
      <c r="B874" s="57" t="s">
        <v>1227</v>
      </c>
      <c r="C874" s="12" t="s">
        <v>150</v>
      </c>
      <c r="D874" s="46" t="s">
        <v>861</v>
      </c>
      <c r="E874" s="58">
        <v>33000</v>
      </c>
      <c r="F874" s="12" t="s">
        <v>1228</v>
      </c>
      <c r="G874" s="46" t="s">
        <v>11</v>
      </c>
      <c r="H874" s="46" t="s">
        <v>9</v>
      </c>
      <c r="I874" s="46" t="s">
        <v>29</v>
      </c>
      <c r="J874" s="56">
        <v>44615</v>
      </c>
      <c r="K874" s="46" t="s">
        <v>302</v>
      </c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</row>
    <row r="875" spans="1:47" ht="15.75" customHeight="1">
      <c r="A875" s="56">
        <v>44663</v>
      </c>
      <c r="B875" s="57" t="s">
        <v>1229</v>
      </c>
      <c r="C875" s="12" t="s">
        <v>14</v>
      </c>
      <c r="D875" s="46" t="s">
        <v>861</v>
      </c>
      <c r="E875" s="58">
        <v>129700</v>
      </c>
      <c r="F875" s="12" t="s">
        <v>523</v>
      </c>
      <c r="G875" s="46" t="s">
        <v>24</v>
      </c>
      <c r="H875" s="46" t="s">
        <v>12</v>
      </c>
      <c r="I875" s="46" t="s">
        <v>368</v>
      </c>
      <c r="J875" s="56">
        <v>44320</v>
      </c>
      <c r="K875" s="46" t="s">
        <v>295</v>
      </c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</row>
    <row r="876" spans="1:47" ht="15.75" customHeight="1">
      <c r="A876" s="56">
        <v>44663</v>
      </c>
      <c r="B876" s="57" t="s">
        <v>867</v>
      </c>
      <c r="C876" s="12" t="s">
        <v>150</v>
      </c>
      <c r="D876" s="46" t="s">
        <v>861</v>
      </c>
      <c r="E876" s="58">
        <v>6000</v>
      </c>
      <c r="F876" s="12" t="s">
        <v>206</v>
      </c>
      <c r="G876" s="46" t="s">
        <v>107</v>
      </c>
      <c r="H876" s="46" t="s">
        <v>12</v>
      </c>
      <c r="I876" s="46" t="s">
        <v>108</v>
      </c>
      <c r="J876" s="56">
        <v>43703</v>
      </c>
      <c r="K876" s="56" t="s">
        <v>382</v>
      </c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</row>
    <row r="877" spans="1:47" ht="15.75" customHeight="1">
      <c r="A877" s="56">
        <v>44665</v>
      </c>
      <c r="B877" s="57" t="s">
        <v>1230</v>
      </c>
      <c r="C877" s="12" t="s">
        <v>14</v>
      </c>
      <c r="D877" s="46" t="s">
        <v>237</v>
      </c>
      <c r="E877" s="58">
        <v>66169.95</v>
      </c>
      <c r="F877" s="46" t="s">
        <v>310</v>
      </c>
      <c r="G877" s="46" t="s">
        <v>11</v>
      </c>
      <c r="H877" s="46" t="s">
        <v>17</v>
      </c>
      <c r="I877" s="56" t="s">
        <v>35</v>
      </c>
      <c r="J877" s="56">
        <v>44547</v>
      </c>
      <c r="K877" s="46" t="s">
        <v>304</v>
      </c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</row>
    <row r="878" spans="1:47" ht="15.75" customHeight="1">
      <c r="A878" s="56">
        <v>44669</v>
      </c>
      <c r="B878" s="57" t="s">
        <v>1231</v>
      </c>
      <c r="C878" s="12" t="s">
        <v>14</v>
      </c>
      <c r="D878" s="46" t="s">
        <v>237</v>
      </c>
      <c r="E878" s="58">
        <v>154271.19</v>
      </c>
      <c r="F878" s="46" t="s">
        <v>459</v>
      </c>
      <c r="G878" s="46" t="s">
        <v>11</v>
      </c>
      <c r="H878" s="46" t="s">
        <v>12</v>
      </c>
      <c r="I878" s="56" t="s">
        <v>358</v>
      </c>
      <c r="J878" s="56">
        <v>44389</v>
      </c>
      <c r="K878" s="46" t="s">
        <v>295</v>
      </c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</row>
    <row r="879" spans="1:47" ht="15.75" customHeight="1">
      <c r="A879" s="56">
        <v>44669</v>
      </c>
      <c r="B879" s="57" t="s">
        <v>1232</v>
      </c>
      <c r="C879" s="12" t="s">
        <v>14</v>
      </c>
      <c r="D879" s="46" t="s">
        <v>861</v>
      </c>
      <c r="E879" s="58">
        <v>20000</v>
      </c>
      <c r="F879" s="46" t="s">
        <v>501</v>
      </c>
      <c r="G879" s="46" t="s">
        <v>11</v>
      </c>
      <c r="H879" s="46" t="s">
        <v>12</v>
      </c>
      <c r="I879" s="56" t="s">
        <v>130</v>
      </c>
      <c r="J879" s="56">
        <v>44424</v>
      </c>
      <c r="K879" s="46" t="s">
        <v>302</v>
      </c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</row>
    <row r="880" spans="1:47" ht="15.75" customHeight="1">
      <c r="A880" s="56">
        <v>44669</v>
      </c>
      <c r="B880" s="57" t="s">
        <v>932</v>
      </c>
      <c r="C880" s="12" t="s">
        <v>14</v>
      </c>
      <c r="D880" s="46" t="s">
        <v>861</v>
      </c>
      <c r="E880" s="58">
        <v>25000</v>
      </c>
      <c r="F880" s="46" t="s">
        <v>415</v>
      </c>
      <c r="G880" s="46" t="s">
        <v>24</v>
      </c>
      <c r="H880" s="46" t="s">
        <v>12</v>
      </c>
      <c r="I880" s="56" t="s">
        <v>316</v>
      </c>
      <c r="J880" s="56">
        <v>44263</v>
      </c>
      <c r="K880" s="46" t="s">
        <v>298</v>
      </c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</row>
    <row r="881" spans="1:47" ht="15.75" customHeight="1">
      <c r="A881" s="56">
        <v>44669</v>
      </c>
      <c r="B881" s="57" t="s">
        <v>1209</v>
      </c>
      <c r="C881" s="12" t="s">
        <v>14</v>
      </c>
      <c r="D881" s="46" t="s">
        <v>861</v>
      </c>
      <c r="E881" s="58">
        <v>10000</v>
      </c>
      <c r="F881" s="12" t="s">
        <v>1210</v>
      </c>
      <c r="G881" s="46" t="s">
        <v>11</v>
      </c>
      <c r="H881" s="46" t="s">
        <v>17</v>
      </c>
      <c r="I881" s="46" t="s">
        <v>26</v>
      </c>
      <c r="J881" s="56">
        <v>44656</v>
      </c>
      <c r="K881" s="46" t="s">
        <v>298</v>
      </c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</row>
    <row r="882" spans="1:47" ht="15.75" customHeight="1">
      <c r="A882" s="56">
        <v>44669</v>
      </c>
      <c r="B882" s="57">
        <v>7542389</v>
      </c>
      <c r="C882" s="12" t="s">
        <v>14</v>
      </c>
      <c r="D882" s="46" t="s">
        <v>861</v>
      </c>
      <c r="E882" s="58">
        <v>1000</v>
      </c>
      <c r="F882" s="12" t="s">
        <v>484</v>
      </c>
      <c r="G882" s="46" t="s">
        <v>24</v>
      </c>
      <c r="H882" s="46" t="s">
        <v>12</v>
      </c>
      <c r="I882" s="46" t="s">
        <v>311</v>
      </c>
      <c r="J882" s="56">
        <v>44579</v>
      </c>
      <c r="K882" s="46" t="s">
        <v>373</v>
      </c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</row>
    <row r="883" spans="1:47" ht="15.75" customHeight="1">
      <c r="A883" s="56">
        <v>44669</v>
      </c>
      <c r="B883" s="57" t="s">
        <v>962</v>
      </c>
      <c r="C883" s="12" t="s">
        <v>14</v>
      </c>
      <c r="D883" s="46" t="s">
        <v>861</v>
      </c>
      <c r="E883" s="58">
        <v>5000</v>
      </c>
      <c r="F883" s="12" t="s">
        <v>520</v>
      </c>
      <c r="G883" s="46" t="s">
        <v>24</v>
      </c>
      <c r="H883" s="46" t="s">
        <v>12</v>
      </c>
      <c r="I883" s="46" t="s">
        <v>434</v>
      </c>
      <c r="J883" s="56">
        <v>44180</v>
      </c>
      <c r="K883" s="46" t="s">
        <v>298</v>
      </c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</row>
    <row r="884" spans="1:47" ht="15.75" customHeight="1">
      <c r="A884" s="56">
        <v>44670</v>
      </c>
      <c r="B884" s="57" t="s">
        <v>1176</v>
      </c>
      <c r="C884" s="12" t="s">
        <v>150</v>
      </c>
      <c r="D884" s="46" t="s">
        <v>861</v>
      </c>
      <c r="E884" s="58">
        <v>62000</v>
      </c>
      <c r="F884" s="12" t="s">
        <v>1233</v>
      </c>
      <c r="G884" s="46" t="s">
        <v>107</v>
      </c>
      <c r="H884" s="46" t="s">
        <v>12</v>
      </c>
      <c r="I884" s="46" t="s">
        <v>108</v>
      </c>
      <c r="J884" s="56">
        <v>43811</v>
      </c>
      <c r="K884" s="46" t="s">
        <v>302</v>
      </c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</row>
    <row r="885" spans="1:47" ht="15.75" customHeight="1">
      <c r="A885" s="56">
        <v>44671</v>
      </c>
      <c r="B885" s="57" t="s">
        <v>1234</v>
      </c>
      <c r="C885" s="12" t="s">
        <v>14</v>
      </c>
      <c r="D885" s="46" t="s">
        <v>54</v>
      </c>
      <c r="E885" s="58">
        <v>581895.17000000004</v>
      </c>
      <c r="F885" s="12" t="s">
        <v>303</v>
      </c>
      <c r="G885" s="46" t="s">
        <v>11</v>
      </c>
      <c r="H885" s="46" t="s">
        <v>17</v>
      </c>
      <c r="I885" s="46" t="s">
        <v>551</v>
      </c>
      <c r="J885" s="56">
        <v>44084</v>
      </c>
      <c r="K885" s="46" t="s">
        <v>304</v>
      </c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</row>
    <row r="886" spans="1:47" ht="15.75" customHeight="1">
      <c r="A886" s="56">
        <v>44671</v>
      </c>
      <c r="B886" s="57" t="s">
        <v>1235</v>
      </c>
      <c r="C886" s="12" t="s">
        <v>14</v>
      </c>
      <c r="D886" s="46" t="s">
        <v>861</v>
      </c>
      <c r="E886" s="58">
        <v>10000</v>
      </c>
      <c r="F886" s="12" t="s">
        <v>467</v>
      </c>
      <c r="G886" s="46" t="s">
        <v>11</v>
      </c>
      <c r="H886" s="46" t="s">
        <v>17</v>
      </c>
      <c r="I886" s="46" t="s">
        <v>28</v>
      </c>
      <c r="J886" s="56">
        <v>44645</v>
      </c>
      <c r="K886" s="46" t="s">
        <v>301</v>
      </c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</row>
    <row r="887" spans="1:47" ht="15.75" customHeight="1">
      <c r="A887" s="56">
        <v>44671</v>
      </c>
      <c r="B887" s="57" t="s">
        <v>995</v>
      </c>
      <c r="C887" s="12" t="s">
        <v>150</v>
      </c>
      <c r="D887" s="46" t="s">
        <v>861</v>
      </c>
      <c r="E887" s="58">
        <v>15000</v>
      </c>
      <c r="F887" s="12" t="s">
        <v>1236</v>
      </c>
      <c r="G887" s="46" t="s">
        <v>11</v>
      </c>
      <c r="H887" s="46" t="s">
        <v>9</v>
      </c>
      <c r="I887" s="46" t="s">
        <v>29</v>
      </c>
      <c r="J887" s="56">
        <v>44319</v>
      </c>
      <c r="K887" s="46" t="s">
        <v>298</v>
      </c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</row>
    <row r="888" spans="1:47" ht="15.75" customHeight="1">
      <c r="A888" s="56">
        <v>44671</v>
      </c>
      <c r="B888" s="57" t="s">
        <v>1039</v>
      </c>
      <c r="C888" s="12" t="s">
        <v>150</v>
      </c>
      <c r="D888" s="46" t="s">
        <v>861</v>
      </c>
      <c r="E888" s="58">
        <v>911.9</v>
      </c>
      <c r="F888" s="12" t="s">
        <v>49</v>
      </c>
      <c r="G888" s="46" t="s">
        <v>11</v>
      </c>
      <c r="H888" s="46" t="s">
        <v>9</v>
      </c>
      <c r="I888" s="46" t="s">
        <v>10</v>
      </c>
      <c r="J888" s="56">
        <v>44280</v>
      </c>
      <c r="K888" s="46" t="s">
        <v>298</v>
      </c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</row>
    <row r="889" spans="1:47" ht="15.75" customHeight="1">
      <c r="A889" s="56">
        <v>44673</v>
      </c>
      <c r="B889" s="57" t="s">
        <v>1196</v>
      </c>
      <c r="C889" s="12" t="s">
        <v>14</v>
      </c>
      <c r="D889" s="46" t="s">
        <v>861</v>
      </c>
      <c r="E889" s="58">
        <v>146000</v>
      </c>
      <c r="F889" s="12" t="s">
        <v>437</v>
      </c>
      <c r="G889" s="46" t="s">
        <v>11</v>
      </c>
      <c r="H889" s="46" t="s">
        <v>17</v>
      </c>
      <c r="I889" s="46" t="s">
        <v>26</v>
      </c>
      <c r="J889" s="56">
        <v>44615</v>
      </c>
      <c r="K889" s="46" t="s">
        <v>298</v>
      </c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</row>
    <row r="890" spans="1:47" ht="15.75" customHeight="1">
      <c r="A890" s="56">
        <v>44673</v>
      </c>
      <c r="B890" s="57" t="s">
        <v>1237</v>
      </c>
      <c r="C890" s="12" t="s">
        <v>14</v>
      </c>
      <c r="D890" s="46" t="s">
        <v>237</v>
      </c>
      <c r="E890" s="58">
        <v>114850.92</v>
      </c>
      <c r="F890" s="12" t="s">
        <v>423</v>
      </c>
      <c r="G890" s="46" t="s">
        <v>11</v>
      </c>
      <c r="H890" s="46" t="s">
        <v>17</v>
      </c>
      <c r="I890" s="46" t="s">
        <v>35</v>
      </c>
      <c r="J890" s="56">
        <v>44462</v>
      </c>
      <c r="K890" s="46" t="s">
        <v>298</v>
      </c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</row>
    <row r="891" spans="1:47" ht="15.75" customHeight="1">
      <c r="A891" s="56">
        <v>44673</v>
      </c>
      <c r="B891" s="57" t="s">
        <v>1238</v>
      </c>
      <c r="C891" s="12" t="s">
        <v>14</v>
      </c>
      <c r="D891" s="46" t="s">
        <v>861</v>
      </c>
      <c r="E891" s="58">
        <v>100000</v>
      </c>
      <c r="F891" s="12" t="s">
        <v>1239</v>
      </c>
      <c r="G891" s="46" t="s">
        <v>11</v>
      </c>
      <c r="H891" s="46" t="s">
        <v>17</v>
      </c>
      <c r="I891" s="56" t="s">
        <v>847</v>
      </c>
      <c r="J891" s="56">
        <v>44454</v>
      </c>
      <c r="K891" s="46" t="s">
        <v>298</v>
      </c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</row>
    <row r="892" spans="1:47" ht="15.75" customHeight="1">
      <c r="A892" s="56">
        <v>44673</v>
      </c>
      <c r="B892" s="57" t="s">
        <v>1024</v>
      </c>
      <c r="C892" s="12" t="s">
        <v>150</v>
      </c>
      <c r="D892" s="46" t="s">
        <v>861</v>
      </c>
      <c r="E892" s="58">
        <v>100000</v>
      </c>
      <c r="F892" s="12" t="s">
        <v>1240</v>
      </c>
      <c r="G892" s="46" t="s">
        <v>11</v>
      </c>
      <c r="H892" s="46" t="s">
        <v>9</v>
      </c>
      <c r="I892" s="46" t="s">
        <v>29</v>
      </c>
      <c r="J892" s="56">
        <v>44321</v>
      </c>
      <c r="K892" s="46" t="s">
        <v>302</v>
      </c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</row>
    <row r="893" spans="1:47" ht="15.75" customHeight="1">
      <c r="A893" s="56">
        <v>44676</v>
      </c>
      <c r="B893" s="57" t="s">
        <v>1173</v>
      </c>
      <c r="C893" s="12" t="s">
        <v>150</v>
      </c>
      <c r="D893" s="46" t="s">
        <v>861</v>
      </c>
      <c r="E893" s="58">
        <v>20000</v>
      </c>
      <c r="F893" s="12" t="s">
        <v>225</v>
      </c>
      <c r="G893" s="46" t="s">
        <v>11</v>
      </c>
      <c r="H893" s="46" t="s">
        <v>9</v>
      </c>
      <c r="I893" s="46" t="s">
        <v>29</v>
      </c>
      <c r="J893" s="56">
        <v>44333</v>
      </c>
      <c r="K893" s="46" t="s">
        <v>302</v>
      </c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</row>
    <row r="894" spans="1:47" ht="15.75" customHeight="1">
      <c r="A894" s="60">
        <v>44676</v>
      </c>
      <c r="B894" s="89" t="s">
        <v>1241</v>
      </c>
      <c r="C894" s="62" t="s">
        <v>150</v>
      </c>
      <c r="D894" s="46" t="s">
        <v>237</v>
      </c>
      <c r="E894" s="70" t="s">
        <v>1242</v>
      </c>
      <c r="F894" s="46" t="s">
        <v>182</v>
      </c>
      <c r="G894" s="56" t="s">
        <v>11</v>
      </c>
      <c r="H894" s="56" t="s">
        <v>9</v>
      </c>
      <c r="I894" s="56" t="s">
        <v>10</v>
      </c>
      <c r="J894" s="56">
        <v>44263</v>
      </c>
      <c r="K894" s="56" t="s">
        <v>304</v>
      </c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</row>
    <row r="895" spans="1:47" ht="15.75" customHeight="1">
      <c r="A895" s="56">
        <v>44677</v>
      </c>
      <c r="B895" s="57" t="s">
        <v>1243</v>
      </c>
      <c r="C895" s="12" t="s">
        <v>150</v>
      </c>
      <c r="D895" s="46" t="s">
        <v>861</v>
      </c>
      <c r="E895" s="58">
        <v>62000</v>
      </c>
      <c r="F895" s="46" t="s">
        <v>227</v>
      </c>
      <c r="G895" s="46" t="s">
        <v>104</v>
      </c>
      <c r="H895" s="46" t="s">
        <v>12</v>
      </c>
      <c r="I895" s="56" t="s">
        <v>104</v>
      </c>
      <c r="J895" s="56">
        <v>43439</v>
      </c>
      <c r="K895" s="46" t="s">
        <v>304</v>
      </c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</row>
    <row r="896" spans="1:47" ht="15.75" customHeight="1">
      <c r="A896" s="56">
        <v>44677</v>
      </c>
      <c r="B896" s="57" t="s">
        <v>127</v>
      </c>
      <c r="C896" s="12" t="s">
        <v>120</v>
      </c>
      <c r="D896" s="46" t="s">
        <v>861</v>
      </c>
      <c r="E896" s="58">
        <v>3000</v>
      </c>
      <c r="F896" s="12" t="s">
        <v>126</v>
      </c>
      <c r="G896" s="46" t="s">
        <v>11</v>
      </c>
      <c r="H896" s="46" t="s">
        <v>11</v>
      </c>
      <c r="I896" s="56" t="s">
        <v>765</v>
      </c>
      <c r="J896" s="56">
        <v>44062</v>
      </c>
      <c r="K896" s="46" t="s">
        <v>298</v>
      </c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</row>
    <row r="897" spans="1:47" ht="15.75" customHeight="1">
      <c r="A897" s="56">
        <v>44677</v>
      </c>
      <c r="B897" s="68" t="s">
        <v>1244</v>
      </c>
      <c r="C897" s="109" t="s">
        <v>14</v>
      </c>
      <c r="D897" s="110" t="s">
        <v>54</v>
      </c>
      <c r="E897" s="111">
        <v>118629.88</v>
      </c>
      <c r="F897" s="109" t="s">
        <v>414</v>
      </c>
      <c r="G897" s="110" t="s">
        <v>11</v>
      </c>
      <c r="H897" s="110" t="s">
        <v>12</v>
      </c>
      <c r="I897" s="110" t="s">
        <v>138</v>
      </c>
      <c r="J897" s="112">
        <v>44405</v>
      </c>
      <c r="K897" s="110" t="s">
        <v>304</v>
      </c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</row>
    <row r="898" spans="1:47" ht="15.75" customHeight="1">
      <c r="A898" s="56">
        <v>44677</v>
      </c>
      <c r="B898" s="57" t="s">
        <v>1005</v>
      </c>
      <c r="C898" s="12" t="s">
        <v>150</v>
      </c>
      <c r="D898" s="46" t="s">
        <v>861</v>
      </c>
      <c r="E898" s="58">
        <v>31000</v>
      </c>
      <c r="F898" s="12" t="s">
        <v>61</v>
      </c>
      <c r="G898" s="46" t="s">
        <v>11</v>
      </c>
      <c r="H898" s="46" t="s">
        <v>9</v>
      </c>
      <c r="I898" s="46" t="s">
        <v>10</v>
      </c>
      <c r="J898" s="56">
        <v>44319</v>
      </c>
      <c r="K898" s="46" t="s">
        <v>298</v>
      </c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</row>
    <row r="899" spans="1:47" ht="15.75" customHeight="1">
      <c r="A899" s="56">
        <v>44679</v>
      </c>
      <c r="B899" s="57" t="s">
        <v>1129</v>
      </c>
      <c r="C899" s="12" t="s">
        <v>150</v>
      </c>
      <c r="D899" s="46" t="s">
        <v>861</v>
      </c>
      <c r="E899" s="58">
        <v>15000</v>
      </c>
      <c r="F899" s="12" t="s">
        <v>1245</v>
      </c>
      <c r="G899" s="46" t="s">
        <v>11</v>
      </c>
      <c r="H899" s="46" t="s">
        <v>9</v>
      </c>
      <c r="I899" s="46" t="s">
        <v>10</v>
      </c>
      <c r="J899" s="56">
        <v>44323</v>
      </c>
      <c r="K899" s="46" t="s">
        <v>309</v>
      </c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</row>
    <row r="900" spans="1:47" ht="15.75" customHeight="1">
      <c r="A900" s="56">
        <v>44679</v>
      </c>
      <c r="B900" s="57" t="s">
        <v>1246</v>
      </c>
      <c r="C900" s="12" t="s">
        <v>150</v>
      </c>
      <c r="D900" s="46" t="s">
        <v>861</v>
      </c>
      <c r="E900" s="58">
        <v>75000</v>
      </c>
      <c r="F900" s="12" t="s">
        <v>1247</v>
      </c>
      <c r="G900" s="46" t="s">
        <v>11</v>
      </c>
      <c r="H900" s="46" t="s">
        <v>9</v>
      </c>
      <c r="I900" s="46" t="s">
        <v>98</v>
      </c>
      <c r="J900" s="56">
        <v>44644</v>
      </c>
      <c r="K900" s="46" t="s">
        <v>302</v>
      </c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</row>
    <row r="901" spans="1:47" ht="15.75" customHeight="1">
      <c r="A901" s="56">
        <v>44680</v>
      </c>
      <c r="B901" s="57" t="s">
        <v>1248</v>
      </c>
      <c r="C901" s="12" t="s">
        <v>150</v>
      </c>
      <c r="D901" s="46" t="s">
        <v>861</v>
      </c>
      <c r="E901" s="58">
        <v>31000</v>
      </c>
      <c r="F901" s="12" t="s">
        <v>1249</v>
      </c>
      <c r="G901" s="46" t="s">
        <v>11</v>
      </c>
      <c r="H901" s="46" t="s">
        <v>9</v>
      </c>
      <c r="I901" s="46" t="s">
        <v>98</v>
      </c>
      <c r="J901" s="56">
        <v>44568</v>
      </c>
      <c r="K901" s="46" t="s">
        <v>301</v>
      </c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</row>
    <row r="902" spans="1:47" ht="15.75" customHeight="1">
      <c r="A902" s="81">
        <v>44680</v>
      </c>
      <c r="B902" s="113" t="s">
        <v>1250</v>
      </c>
      <c r="C902" s="12" t="s">
        <v>14</v>
      </c>
      <c r="D902" s="82" t="s">
        <v>237</v>
      </c>
      <c r="E902" s="83">
        <v>288923.90000000002</v>
      </c>
      <c r="F902" s="12" t="s">
        <v>1251</v>
      </c>
      <c r="G902" s="82" t="s">
        <v>11</v>
      </c>
      <c r="H902" s="82" t="s">
        <v>17</v>
      </c>
      <c r="I902" s="82" t="s">
        <v>369</v>
      </c>
      <c r="J902" s="81">
        <v>44398</v>
      </c>
      <c r="K902" s="12" t="s">
        <v>301</v>
      </c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</row>
    <row r="903" spans="1:47" ht="15.75" customHeight="1">
      <c r="A903" s="56">
        <v>44682</v>
      </c>
      <c r="B903" s="12" t="s">
        <v>1068</v>
      </c>
      <c r="C903" s="12" t="s">
        <v>150</v>
      </c>
      <c r="D903" s="46" t="s">
        <v>237</v>
      </c>
      <c r="E903" s="58">
        <v>7399239.3600000003</v>
      </c>
      <c r="F903" s="37" t="s">
        <v>214</v>
      </c>
      <c r="G903" s="37" t="s">
        <v>104</v>
      </c>
      <c r="H903" s="37" t="s">
        <v>12</v>
      </c>
      <c r="I903" s="37" t="s">
        <v>104</v>
      </c>
      <c r="J903" s="80">
        <v>44021</v>
      </c>
      <c r="K903" s="39" t="s">
        <v>298</v>
      </c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</row>
    <row r="904" spans="1:47" ht="15.75" customHeight="1">
      <c r="A904" s="56">
        <v>44682</v>
      </c>
      <c r="B904" s="12" t="s">
        <v>1252</v>
      </c>
      <c r="C904" s="12" t="s">
        <v>150</v>
      </c>
      <c r="D904" s="46" t="s">
        <v>237</v>
      </c>
      <c r="E904" s="58">
        <v>4668228.6100000003</v>
      </c>
      <c r="F904" s="37" t="s">
        <v>214</v>
      </c>
      <c r="G904" s="37" t="s">
        <v>104</v>
      </c>
      <c r="H904" s="37" t="s">
        <v>12</v>
      </c>
      <c r="I904" s="37" t="s">
        <v>104</v>
      </c>
      <c r="J904" s="80">
        <v>44029</v>
      </c>
      <c r="K904" s="39" t="s">
        <v>304</v>
      </c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</row>
    <row r="905" spans="1:47" ht="15.75" customHeight="1">
      <c r="A905" s="56">
        <v>44683</v>
      </c>
      <c r="B905" s="57" t="s">
        <v>1075</v>
      </c>
      <c r="C905" s="12" t="s">
        <v>14</v>
      </c>
      <c r="D905" s="46" t="s">
        <v>237</v>
      </c>
      <c r="E905" s="58">
        <v>160249.53</v>
      </c>
      <c r="F905" s="12" t="s">
        <v>329</v>
      </c>
      <c r="G905" s="46" t="s">
        <v>24</v>
      </c>
      <c r="H905" s="46" t="s">
        <v>12</v>
      </c>
      <c r="I905" s="46" t="s">
        <v>128</v>
      </c>
      <c r="J905" s="56">
        <v>44362</v>
      </c>
      <c r="K905" s="46" t="s">
        <v>302</v>
      </c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</row>
    <row r="906" spans="1:47" ht="15.75" customHeight="1">
      <c r="A906" s="56">
        <v>44683</v>
      </c>
      <c r="B906" s="57" t="s">
        <v>1253</v>
      </c>
      <c r="C906" s="12" t="s">
        <v>14</v>
      </c>
      <c r="D906" s="46" t="s">
        <v>237</v>
      </c>
      <c r="E906" s="58">
        <v>128785.37</v>
      </c>
      <c r="F906" s="12" t="s">
        <v>1254</v>
      </c>
      <c r="G906" s="46" t="s">
        <v>11</v>
      </c>
      <c r="H906" s="46" t="s">
        <v>17</v>
      </c>
      <c r="I906" s="46" t="s">
        <v>35</v>
      </c>
      <c r="J906" s="56">
        <v>44355</v>
      </c>
      <c r="K906" s="39" t="s">
        <v>301</v>
      </c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</row>
    <row r="907" spans="1:47" ht="15.75" customHeight="1">
      <c r="A907" s="56">
        <v>44683</v>
      </c>
      <c r="B907" s="57" t="s">
        <v>1255</v>
      </c>
      <c r="C907" s="12" t="s">
        <v>14</v>
      </c>
      <c r="D907" s="46" t="s">
        <v>237</v>
      </c>
      <c r="E907" s="58">
        <v>158853.29</v>
      </c>
      <c r="F907" s="12" t="s">
        <v>559</v>
      </c>
      <c r="G907" s="37" t="s">
        <v>11</v>
      </c>
      <c r="H907" s="37" t="s">
        <v>17</v>
      </c>
      <c r="I907" s="37" t="s">
        <v>35</v>
      </c>
      <c r="J907" s="80">
        <v>44229</v>
      </c>
      <c r="K907" s="39" t="s">
        <v>295</v>
      </c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</row>
    <row r="908" spans="1:47" ht="15.75" customHeight="1">
      <c r="A908" s="56">
        <v>44683</v>
      </c>
      <c r="B908" s="57" t="s">
        <v>1226</v>
      </c>
      <c r="C908" s="12" t="s">
        <v>14</v>
      </c>
      <c r="D908" s="46" t="s">
        <v>861</v>
      </c>
      <c r="E908" s="58">
        <v>11329.01</v>
      </c>
      <c r="F908" s="12" t="s">
        <v>77</v>
      </c>
      <c r="G908" s="37" t="s">
        <v>11</v>
      </c>
      <c r="H908" s="37" t="s">
        <v>17</v>
      </c>
      <c r="I908" s="37" t="s">
        <v>26</v>
      </c>
      <c r="J908" s="80">
        <v>44614</v>
      </c>
      <c r="K908" s="39" t="s">
        <v>298</v>
      </c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</row>
    <row r="909" spans="1:47" ht="15.75" customHeight="1">
      <c r="A909" s="56">
        <v>44683</v>
      </c>
      <c r="B909" s="57">
        <v>350690</v>
      </c>
      <c r="C909" s="12" t="s">
        <v>150</v>
      </c>
      <c r="D909" s="46" t="s">
        <v>861</v>
      </c>
      <c r="E909" s="58">
        <v>100000</v>
      </c>
      <c r="F909" s="12" t="s">
        <v>175</v>
      </c>
      <c r="G909" s="37" t="s">
        <v>11</v>
      </c>
      <c r="H909" s="37" t="s">
        <v>9</v>
      </c>
      <c r="I909" s="37" t="s">
        <v>29</v>
      </c>
      <c r="J909" s="80">
        <v>44438</v>
      </c>
      <c r="K909" s="39" t="s">
        <v>298</v>
      </c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</row>
    <row r="910" spans="1:47" ht="15.75" customHeight="1">
      <c r="A910" s="56">
        <v>44683</v>
      </c>
      <c r="B910" s="57" t="s">
        <v>928</v>
      </c>
      <c r="C910" s="12" t="s">
        <v>150</v>
      </c>
      <c r="D910" s="46" t="s">
        <v>861</v>
      </c>
      <c r="E910" s="58">
        <v>40000</v>
      </c>
      <c r="F910" s="12" t="s">
        <v>1213</v>
      </c>
      <c r="G910" s="37" t="s">
        <v>11</v>
      </c>
      <c r="H910" s="37" t="s">
        <v>9</v>
      </c>
      <c r="I910" s="37" t="s">
        <v>10</v>
      </c>
      <c r="J910" s="80">
        <v>44321</v>
      </c>
      <c r="K910" s="39" t="s">
        <v>298</v>
      </c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</row>
    <row r="911" spans="1:47" ht="15.75" customHeight="1">
      <c r="A911" s="56">
        <v>44683</v>
      </c>
      <c r="B911" s="57" t="s">
        <v>1188</v>
      </c>
      <c r="C911" s="12" t="s">
        <v>150</v>
      </c>
      <c r="D911" s="46" t="s">
        <v>861</v>
      </c>
      <c r="E911" s="58">
        <v>25000</v>
      </c>
      <c r="F911" s="12" t="s">
        <v>1215</v>
      </c>
      <c r="G911" s="37" t="s">
        <v>11</v>
      </c>
      <c r="H911" s="37" t="s">
        <v>9</v>
      </c>
      <c r="I911" s="37" t="s">
        <v>10</v>
      </c>
      <c r="J911" s="80">
        <v>44263</v>
      </c>
      <c r="K911" s="39" t="s">
        <v>302</v>
      </c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</row>
    <row r="912" spans="1:47" ht="15.75" customHeight="1">
      <c r="A912" s="56">
        <v>44683</v>
      </c>
      <c r="B912" s="57" t="s">
        <v>1203</v>
      </c>
      <c r="C912" s="12" t="s">
        <v>150</v>
      </c>
      <c r="D912" s="46" t="s">
        <v>861</v>
      </c>
      <c r="E912" s="58">
        <v>14000</v>
      </c>
      <c r="F912" s="12" t="s">
        <v>101</v>
      </c>
      <c r="G912" s="37" t="s">
        <v>107</v>
      </c>
      <c r="H912" s="37" t="s">
        <v>12</v>
      </c>
      <c r="I912" s="37" t="s">
        <v>108</v>
      </c>
      <c r="J912" s="80">
        <v>43605</v>
      </c>
      <c r="K912" s="39" t="s">
        <v>304</v>
      </c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</row>
    <row r="913" spans="1:47" ht="15.75" customHeight="1">
      <c r="A913" s="56">
        <v>44684</v>
      </c>
      <c r="B913" s="57" t="s">
        <v>1256</v>
      </c>
      <c r="C913" s="12" t="s">
        <v>14</v>
      </c>
      <c r="D913" s="46" t="s">
        <v>237</v>
      </c>
      <c r="E913" s="58">
        <v>398221.67</v>
      </c>
      <c r="F913" s="12" t="s">
        <v>417</v>
      </c>
      <c r="G913" s="37" t="s">
        <v>11</v>
      </c>
      <c r="H913" s="37" t="s">
        <v>17</v>
      </c>
      <c r="I913" s="37" t="s">
        <v>369</v>
      </c>
      <c r="J913" s="80">
        <v>44454</v>
      </c>
      <c r="K913" s="39" t="s">
        <v>301</v>
      </c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</row>
    <row r="914" spans="1:47" ht="15.75" customHeight="1">
      <c r="A914" s="56">
        <v>44685</v>
      </c>
      <c r="B914" s="37">
        <v>4740849</v>
      </c>
      <c r="C914" s="12" t="s">
        <v>14</v>
      </c>
      <c r="D914" s="46" t="s">
        <v>54</v>
      </c>
      <c r="E914" s="58">
        <v>83984.540000000008</v>
      </c>
      <c r="F914" s="12" t="s">
        <v>523</v>
      </c>
      <c r="G914" s="37" t="s">
        <v>24</v>
      </c>
      <c r="H914" s="37" t="s">
        <v>12</v>
      </c>
      <c r="I914" s="37" t="s">
        <v>368</v>
      </c>
      <c r="J914" s="80">
        <v>44320</v>
      </c>
      <c r="K914" s="39" t="s">
        <v>295</v>
      </c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</row>
    <row r="915" spans="1:47" ht="15.75" customHeight="1">
      <c r="A915" s="56">
        <v>44685</v>
      </c>
      <c r="B915" s="37" t="s">
        <v>1257</v>
      </c>
      <c r="C915" s="12" t="s">
        <v>14</v>
      </c>
      <c r="D915" s="46" t="s">
        <v>861</v>
      </c>
      <c r="E915" s="58">
        <v>60000</v>
      </c>
      <c r="F915" s="12" t="s">
        <v>1258</v>
      </c>
      <c r="G915" s="37" t="s">
        <v>11</v>
      </c>
      <c r="H915" s="37" t="s">
        <v>12</v>
      </c>
      <c r="I915" s="37" t="s">
        <v>125</v>
      </c>
      <c r="J915" s="80">
        <v>44294</v>
      </c>
      <c r="K915" s="39" t="s">
        <v>438</v>
      </c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</row>
    <row r="916" spans="1:47" ht="15.75" customHeight="1">
      <c r="A916" s="56">
        <v>44685</v>
      </c>
      <c r="B916" s="37">
        <v>6121090</v>
      </c>
      <c r="C916" s="12" t="s">
        <v>14</v>
      </c>
      <c r="D916" s="46" t="s">
        <v>237</v>
      </c>
      <c r="E916" s="58">
        <v>46583.9</v>
      </c>
      <c r="F916" s="12" t="s">
        <v>395</v>
      </c>
      <c r="G916" s="37" t="s">
        <v>11</v>
      </c>
      <c r="H916" s="37" t="s">
        <v>17</v>
      </c>
      <c r="I916" s="37" t="s">
        <v>35</v>
      </c>
      <c r="J916" s="80">
        <v>44421</v>
      </c>
      <c r="K916" s="39" t="s">
        <v>295</v>
      </c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</row>
    <row r="917" spans="1:47" ht="15.75" customHeight="1">
      <c r="A917" s="56">
        <v>44686</v>
      </c>
      <c r="B917" s="37">
        <v>3600186</v>
      </c>
      <c r="C917" s="12" t="s">
        <v>14</v>
      </c>
      <c r="D917" s="46" t="s">
        <v>237</v>
      </c>
      <c r="E917" s="58">
        <v>1122976.82</v>
      </c>
      <c r="F917" s="12" t="s">
        <v>554</v>
      </c>
      <c r="G917" s="37" t="s">
        <v>11</v>
      </c>
      <c r="H917" s="37" t="s">
        <v>17</v>
      </c>
      <c r="I917" s="37" t="s">
        <v>369</v>
      </c>
      <c r="J917" s="80">
        <v>44454</v>
      </c>
      <c r="K917" s="39" t="s">
        <v>301</v>
      </c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</row>
    <row r="918" spans="1:47" ht="15.75" customHeight="1">
      <c r="A918" s="56">
        <v>44686</v>
      </c>
      <c r="B918" s="37" t="s">
        <v>1259</v>
      </c>
      <c r="C918" s="12" t="s">
        <v>14</v>
      </c>
      <c r="D918" s="46" t="s">
        <v>861</v>
      </c>
      <c r="E918" s="58">
        <v>50000.87</v>
      </c>
      <c r="F918" s="12" t="s">
        <v>70</v>
      </c>
      <c r="G918" s="37" t="s">
        <v>11</v>
      </c>
      <c r="H918" s="37" t="s">
        <v>17</v>
      </c>
      <c r="I918" s="37" t="s">
        <v>35</v>
      </c>
      <c r="J918" s="80">
        <v>44379</v>
      </c>
      <c r="K918" s="39" t="s">
        <v>295</v>
      </c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</row>
    <row r="919" spans="1:47" ht="15.75" customHeight="1">
      <c r="A919" s="56">
        <v>44686</v>
      </c>
      <c r="B919" s="37">
        <v>4920156</v>
      </c>
      <c r="C919" s="12" t="s">
        <v>14</v>
      </c>
      <c r="D919" s="46" t="s">
        <v>861</v>
      </c>
      <c r="E919" s="58">
        <v>10000</v>
      </c>
      <c r="F919" s="12" t="s">
        <v>415</v>
      </c>
      <c r="G919" s="37" t="s">
        <v>24</v>
      </c>
      <c r="H919" s="37" t="s">
        <v>12</v>
      </c>
      <c r="I919" s="37" t="s">
        <v>316</v>
      </c>
      <c r="J919" s="80">
        <v>44263</v>
      </c>
      <c r="K919" s="39" t="s">
        <v>298</v>
      </c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</row>
    <row r="920" spans="1:47" ht="15.75" customHeight="1">
      <c r="A920" s="56">
        <v>44687</v>
      </c>
      <c r="B920" s="12" t="s">
        <v>1040</v>
      </c>
      <c r="C920" s="12" t="s">
        <v>150</v>
      </c>
      <c r="D920" s="46" t="s">
        <v>861</v>
      </c>
      <c r="E920" s="58">
        <v>10000</v>
      </c>
      <c r="F920" s="37" t="s">
        <v>55</v>
      </c>
      <c r="G920" s="37" t="s">
        <v>11</v>
      </c>
      <c r="H920" s="37" t="s">
        <v>9</v>
      </c>
      <c r="I920" s="37" t="s">
        <v>29</v>
      </c>
      <c r="J920" s="80">
        <v>44328</v>
      </c>
      <c r="K920" s="39" t="s">
        <v>295</v>
      </c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</row>
    <row r="921" spans="1:47" ht="15.75" customHeight="1">
      <c r="A921" s="56">
        <v>44687</v>
      </c>
      <c r="B921" s="12" t="s">
        <v>1129</v>
      </c>
      <c r="C921" s="12" t="s">
        <v>150</v>
      </c>
      <c r="D921" s="46" t="s">
        <v>861</v>
      </c>
      <c r="E921" s="58">
        <v>100000</v>
      </c>
      <c r="F921" s="37" t="s">
        <v>242</v>
      </c>
      <c r="G921" s="37" t="s">
        <v>11</v>
      </c>
      <c r="H921" s="37" t="s">
        <v>9</v>
      </c>
      <c r="I921" s="37" t="s">
        <v>10</v>
      </c>
      <c r="J921" s="80">
        <v>44323</v>
      </c>
      <c r="K921" s="39" t="s">
        <v>309</v>
      </c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</row>
    <row r="922" spans="1:47" ht="15.75" customHeight="1">
      <c r="A922" s="56">
        <v>44687</v>
      </c>
      <c r="B922" s="37">
        <v>4862815</v>
      </c>
      <c r="C922" s="12" t="s">
        <v>14</v>
      </c>
      <c r="D922" s="46" t="s">
        <v>861</v>
      </c>
      <c r="E922" s="58">
        <v>70000</v>
      </c>
      <c r="F922" s="12" t="s">
        <v>1260</v>
      </c>
      <c r="G922" s="37" t="s">
        <v>11</v>
      </c>
      <c r="H922" s="37" t="s">
        <v>17</v>
      </c>
      <c r="I922" s="37" t="s">
        <v>35</v>
      </c>
      <c r="J922" s="80">
        <v>44251</v>
      </c>
      <c r="K922" s="39" t="s">
        <v>304</v>
      </c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</row>
    <row r="923" spans="1:47" ht="15.75" customHeight="1">
      <c r="A923" s="56">
        <v>44691</v>
      </c>
      <c r="B923" s="37">
        <v>4345500</v>
      </c>
      <c r="C923" s="12" t="s">
        <v>150</v>
      </c>
      <c r="D923" s="46" t="s">
        <v>861</v>
      </c>
      <c r="E923" s="58">
        <v>35000</v>
      </c>
      <c r="F923" s="12" t="s">
        <v>206</v>
      </c>
      <c r="G923" s="37" t="s">
        <v>107</v>
      </c>
      <c r="H923" s="37" t="s">
        <v>12</v>
      </c>
      <c r="I923" s="37" t="s">
        <v>108</v>
      </c>
      <c r="J923" s="80">
        <v>43703</v>
      </c>
      <c r="K923" s="39" t="s">
        <v>382</v>
      </c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</row>
    <row r="924" spans="1:47" ht="15.75" customHeight="1">
      <c r="A924" s="56">
        <v>44691</v>
      </c>
      <c r="B924" s="12">
        <v>3952119</v>
      </c>
      <c r="C924" s="12" t="s">
        <v>14</v>
      </c>
      <c r="D924" s="46" t="s">
        <v>861</v>
      </c>
      <c r="E924" s="58">
        <v>7000</v>
      </c>
      <c r="F924" s="37" t="s">
        <v>31</v>
      </c>
      <c r="G924" s="37" t="s">
        <v>11</v>
      </c>
      <c r="H924" s="37" t="s">
        <v>12</v>
      </c>
      <c r="I924" s="37" t="s">
        <v>849</v>
      </c>
      <c r="J924" s="80">
        <v>44335</v>
      </c>
      <c r="K924" s="39" t="s">
        <v>309</v>
      </c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</row>
    <row r="925" spans="1:47" ht="15.75" customHeight="1">
      <c r="A925" s="56">
        <v>44691</v>
      </c>
      <c r="B925" s="12">
        <v>5681841</v>
      </c>
      <c r="C925" s="12" t="s">
        <v>14</v>
      </c>
      <c r="D925" s="46" t="s">
        <v>861</v>
      </c>
      <c r="E925" s="58">
        <v>50000</v>
      </c>
      <c r="F925" s="37" t="s">
        <v>548</v>
      </c>
      <c r="G925" s="37" t="s">
        <v>11</v>
      </c>
      <c r="H925" s="46" t="s">
        <v>17</v>
      </c>
      <c r="I925" s="46" t="s">
        <v>28</v>
      </c>
      <c r="J925" s="56">
        <v>44469</v>
      </c>
      <c r="K925" s="39" t="s">
        <v>302</v>
      </c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</row>
    <row r="926" spans="1:47" ht="15.75" customHeight="1">
      <c r="A926" s="56">
        <v>44691</v>
      </c>
      <c r="B926" s="12">
        <v>322629</v>
      </c>
      <c r="C926" s="12" t="s">
        <v>150</v>
      </c>
      <c r="D926" s="46" t="s">
        <v>861</v>
      </c>
      <c r="E926" s="58">
        <v>520000</v>
      </c>
      <c r="F926" s="37" t="s">
        <v>38</v>
      </c>
      <c r="G926" s="37" t="s">
        <v>11</v>
      </c>
      <c r="H926" s="46" t="s">
        <v>9</v>
      </c>
      <c r="I926" s="46" t="s">
        <v>10</v>
      </c>
      <c r="J926" s="56">
        <v>44267</v>
      </c>
      <c r="K926" s="39" t="s">
        <v>298</v>
      </c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</row>
    <row r="927" spans="1:47" ht="15.75" customHeight="1">
      <c r="A927" s="56">
        <v>44691</v>
      </c>
      <c r="B927" s="12" t="s">
        <v>1039</v>
      </c>
      <c r="C927" s="12" t="s">
        <v>150</v>
      </c>
      <c r="D927" s="46" t="s">
        <v>861</v>
      </c>
      <c r="E927" s="58">
        <v>30995.22</v>
      </c>
      <c r="F927" s="37" t="s">
        <v>49</v>
      </c>
      <c r="G927" s="37" t="s">
        <v>11</v>
      </c>
      <c r="H927" s="37" t="s">
        <v>9</v>
      </c>
      <c r="I927" s="37" t="s">
        <v>10</v>
      </c>
      <c r="J927" s="80">
        <v>44280</v>
      </c>
      <c r="K927" s="39" t="s">
        <v>298</v>
      </c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</row>
    <row r="928" spans="1:47" ht="15.75" customHeight="1">
      <c r="A928" s="56">
        <v>44692</v>
      </c>
      <c r="B928" s="12">
        <v>461432</v>
      </c>
      <c r="C928" s="12" t="s">
        <v>150</v>
      </c>
      <c r="D928" s="46" t="s">
        <v>861</v>
      </c>
      <c r="E928" s="58">
        <v>89300</v>
      </c>
      <c r="F928" s="37" t="s">
        <v>115</v>
      </c>
      <c r="G928" s="37" t="s">
        <v>11</v>
      </c>
      <c r="H928" s="46" t="s">
        <v>9</v>
      </c>
      <c r="I928" s="46" t="s">
        <v>29</v>
      </c>
      <c r="J928" s="56">
        <v>44319</v>
      </c>
      <c r="K928" s="39" t="s">
        <v>304</v>
      </c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</row>
    <row r="929" spans="1:47" ht="15.75" customHeight="1">
      <c r="A929" s="56">
        <v>44692</v>
      </c>
      <c r="B929" s="57" t="s">
        <v>1183</v>
      </c>
      <c r="C929" s="12" t="s">
        <v>14</v>
      </c>
      <c r="D929" s="46" t="s">
        <v>861</v>
      </c>
      <c r="E929" s="58">
        <v>30000</v>
      </c>
      <c r="F929" s="46" t="s">
        <v>69</v>
      </c>
      <c r="G929" s="73" t="s">
        <v>11</v>
      </c>
      <c r="H929" s="46" t="s">
        <v>12</v>
      </c>
      <c r="I929" s="56" t="s">
        <v>512</v>
      </c>
      <c r="J929" s="56">
        <v>44594</v>
      </c>
      <c r="K929" s="46" t="s">
        <v>301</v>
      </c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</row>
    <row r="930" spans="1:47" ht="15.75" customHeight="1">
      <c r="A930" s="56">
        <v>44693</v>
      </c>
      <c r="B930" s="12">
        <v>2214585</v>
      </c>
      <c r="C930" s="12" t="s">
        <v>14</v>
      </c>
      <c r="D930" s="46" t="s">
        <v>861</v>
      </c>
      <c r="E930" s="58">
        <v>296037.19</v>
      </c>
      <c r="F930" s="37" t="s">
        <v>503</v>
      </c>
      <c r="G930" s="37" t="s">
        <v>24</v>
      </c>
      <c r="H930" s="46" t="s">
        <v>12</v>
      </c>
      <c r="I930" s="46" t="s">
        <v>336</v>
      </c>
      <c r="J930" s="56">
        <v>44085</v>
      </c>
      <c r="K930" s="39" t="s">
        <v>295</v>
      </c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</row>
    <row r="931" spans="1:47" ht="15.75" customHeight="1">
      <c r="A931" s="56">
        <v>44693</v>
      </c>
      <c r="B931" s="12">
        <v>4886679</v>
      </c>
      <c r="C931" s="12" t="s">
        <v>14</v>
      </c>
      <c r="D931" s="46" t="s">
        <v>861</v>
      </c>
      <c r="E931" s="58">
        <v>187153.1</v>
      </c>
      <c r="F931" s="37" t="s">
        <v>504</v>
      </c>
      <c r="G931" s="37" t="s">
        <v>24</v>
      </c>
      <c r="H931" s="46" t="s">
        <v>12</v>
      </c>
      <c r="I931" s="46" t="s">
        <v>128</v>
      </c>
      <c r="J931" s="46">
        <v>0</v>
      </c>
      <c r="K931" s="39" t="s">
        <v>309</v>
      </c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</row>
    <row r="932" spans="1:47" ht="15.75" customHeight="1">
      <c r="A932" s="56">
        <v>44693</v>
      </c>
      <c r="B932" s="12">
        <v>4084071</v>
      </c>
      <c r="C932" s="12" t="s">
        <v>14</v>
      </c>
      <c r="D932" s="46" t="s">
        <v>861</v>
      </c>
      <c r="E932" s="58">
        <v>15000</v>
      </c>
      <c r="F932" s="37" t="s">
        <v>299</v>
      </c>
      <c r="G932" s="37" t="s">
        <v>11</v>
      </c>
      <c r="H932" s="37" t="s">
        <v>12</v>
      </c>
      <c r="I932" s="37" t="s">
        <v>300</v>
      </c>
      <c r="J932" s="80">
        <v>44326</v>
      </c>
      <c r="K932" s="39" t="s">
        <v>298</v>
      </c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</row>
    <row r="933" spans="1:47" ht="15.75" customHeight="1">
      <c r="A933" s="56">
        <v>44693</v>
      </c>
      <c r="B933" s="69" t="s">
        <v>994</v>
      </c>
      <c r="C933" s="62" t="s">
        <v>150</v>
      </c>
      <c r="D933" s="46" t="s">
        <v>861</v>
      </c>
      <c r="E933" s="70">
        <v>10000</v>
      </c>
      <c r="F933" s="46" t="s">
        <v>218</v>
      </c>
      <c r="G933" s="56" t="s">
        <v>11</v>
      </c>
      <c r="H933" s="56" t="s">
        <v>9</v>
      </c>
      <c r="I933" s="56" t="s">
        <v>98</v>
      </c>
      <c r="J933" s="56">
        <v>44266</v>
      </c>
      <c r="K933" s="56" t="s">
        <v>302</v>
      </c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</row>
    <row r="934" spans="1:47" ht="15.75" customHeight="1">
      <c r="A934" s="56">
        <v>44694</v>
      </c>
      <c r="B934" s="12">
        <v>4401235</v>
      </c>
      <c r="C934" s="12" t="s">
        <v>14</v>
      </c>
      <c r="D934" s="46" t="s">
        <v>861</v>
      </c>
      <c r="E934" s="58">
        <v>59000</v>
      </c>
      <c r="F934" s="37" t="s">
        <v>1261</v>
      </c>
      <c r="G934" s="82" t="s">
        <v>11</v>
      </c>
      <c r="H934" s="82" t="s">
        <v>12</v>
      </c>
      <c r="I934" s="82" t="s">
        <v>372</v>
      </c>
      <c r="J934" s="80">
        <v>44089</v>
      </c>
      <c r="K934" s="39" t="s">
        <v>301</v>
      </c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</row>
    <row r="935" spans="1:47" ht="15.75" customHeight="1">
      <c r="A935" s="56">
        <v>44694</v>
      </c>
      <c r="B935" s="12">
        <v>7438369</v>
      </c>
      <c r="C935" s="12" t="s">
        <v>14</v>
      </c>
      <c r="D935" s="46" t="s">
        <v>237</v>
      </c>
      <c r="E935" s="58">
        <v>28617.08</v>
      </c>
      <c r="F935" s="37" t="s">
        <v>484</v>
      </c>
      <c r="G935" s="37" t="s">
        <v>24</v>
      </c>
      <c r="H935" s="37" t="s">
        <v>12</v>
      </c>
      <c r="I935" s="37" t="s">
        <v>311</v>
      </c>
      <c r="J935" s="80">
        <v>44551</v>
      </c>
      <c r="K935" s="39" t="s">
        <v>304</v>
      </c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</row>
    <row r="936" spans="1:47" ht="15.75" customHeight="1">
      <c r="A936" s="56">
        <v>44694</v>
      </c>
      <c r="B936" s="12">
        <v>7542389</v>
      </c>
      <c r="C936" s="12" t="s">
        <v>14</v>
      </c>
      <c r="D936" s="46" t="s">
        <v>237</v>
      </c>
      <c r="E936" s="58">
        <v>131457.67000000001</v>
      </c>
      <c r="F936" s="37" t="s">
        <v>484</v>
      </c>
      <c r="G936" s="37" t="s">
        <v>24</v>
      </c>
      <c r="H936" s="37" t="s">
        <v>12</v>
      </c>
      <c r="I936" s="37" t="s">
        <v>311</v>
      </c>
      <c r="J936" s="80">
        <v>44579</v>
      </c>
      <c r="K936" s="39" t="s">
        <v>301</v>
      </c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</row>
    <row r="937" spans="1:47" ht="15.75" customHeight="1">
      <c r="A937" s="56">
        <v>44694</v>
      </c>
      <c r="B937" s="12">
        <v>461432</v>
      </c>
      <c r="C937" s="12" t="s">
        <v>150</v>
      </c>
      <c r="D937" s="46" t="s">
        <v>861</v>
      </c>
      <c r="E937" s="58">
        <v>1000</v>
      </c>
      <c r="F937" s="37" t="s">
        <v>115</v>
      </c>
      <c r="G937" s="37" t="s">
        <v>11</v>
      </c>
      <c r="H937" s="46" t="s">
        <v>9</v>
      </c>
      <c r="I937" s="46" t="s">
        <v>29</v>
      </c>
      <c r="J937" s="56">
        <v>44319</v>
      </c>
      <c r="K937" s="39" t="s">
        <v>304</v>
      </c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</row>
    <row r="938" spans="1:47" ht="15.75" customHeight="1">
      <c r="A938" s="56">
        <v>44694</v>
      </c>
      <c r="B938" s="37" t="s">
        <v>1188</v>
      </c>
      <c r="C938" s="12" t="s">
        <v>150</v>
      </c>
      <c r="D938" s="46" t="s">
        <v>861</v>
      </c>
      <c r="E938" s="58">
        <v>20000</v>
      </c>
      <c r="F938" s="12" t="s">
        <v>1215</v>
      </c>
      <c r="G938" s="37" t="s">
        <v>11</v>
      </c>
      <c r="H938" s="37" t="s">
        <v>9</v>
      </c>
      <c r="I938" s="37" t="s">
        <v>10</v>
      </c>
      <c r="J938" s="80">
        <v>44263</v>
      </c>
      <c r="K938" s="39" t="s">
        <v>302</v>
      </c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</row>
    <row r="939" spans="1:47" ht="15.75" customHeight="1">
      <c r="A939" s="56">
        <v>44698</v>
      </c>
      <c r="B939" s="12">
        <v>320910</v>
      </c>
      <c r="C939" s="12" t="s">
        <v>150</v>
      </c>
      <c r="D939" s="46" t="s">
        <v>861</v>
      </c>
      <c r="E939" s="58">
        <v>54000</v>
      </c>
      <c r="F939" s="37" t="s">
        <v>1262</v>
      </c>
      <c r="G939" s="37" t="s">
        <v>11</v>
      </c>
      <c r="H939" s="37" t="s">
        <v>9</v>
      </c>
      <c r="I939" s="37" t="s">
        <v>10</v>
      </c>
      <c r="J939" s="80">
        <v>44328</v>
      </c>
      <c r="K939" s="39" t="s">
        <v>298</v>
      </c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</row>
    <row r="940" spans="1:47" ht="15.75" customHeight="1">
      <c r="A940" s="81">
        <v>44701</v>
      </c>
      <c r="B940" s="69" t="s">
        <v>1092</v>
      </c>
      <c r="C940" s="12" t="s">
        <v>150</v>
      </c>
      <c r="D940" s="82" t="s">
        <v>237</v>
      </c>
      <c r="E940" s="83">
        <v>120119.71</v>
      </c>
      <c r="F940" s="82" t="s">
        <v>254</v>
      </c>
      <c r="G940" s="82" t="s">
        <v>11</v>
      </c>
      <c r="H940" s="82" t="s">
        <v>9</v>
      </c>
      <c r="I940" s="82" t="s">
        <v>29</v>
      </c>
      <c r="J940" s="81">
        <v>44391</v>
      </c>
      <c r="K940" s="12" t="s">
        <v>298</v>
      </c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</row>
    <row r="941" spans="1:47" ht="15.75" customHeight="1">
      <c r="A941" s="56">
        <v>44704</v>
      </c>
      <c r="B941" s="12">
        <v>461432</v>
      </c>
      <c r="C941" s="12" t="s">
        <v>150</v>
      </c>
      <c r="D941" s="46" t="s">
        <v>861</v>
      </c>
      <c r="E941" s="58">
        <v>12200</v>
      </c>
      <c r="F941" s="37" t="s">
        <v>115</v>
      </c>
      <c r="G941" s="37" t="s">
        <v>11</v>
      </c>
      <c r="H941" s="46" t="s">
        <v>9</v>
      </c>
      <c r="I941" s="46" t="s">
        <v>29</v>
      </c>
      <c r="J941" s="56">
        <v>44319</v>
      </c>
      <c r="K941" s="39" t="s">
        <v>304</v>
      </c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</row>
    <row r="942" spans="1:47" ht="15.75" customHeight="1">
      <c r="A942" s="56">
        <v>44704</v>
      </c>
      <c r="B942" s="12">
        <v>5593800</v>
      </c>
      <c r="C942" s="12" t="s">
        <v>14</v>
      </c>
      <c r="D942" s="46" t="s">
        <v>237</v>
      </c>
      <c r="E942" s="58">
        <v>97983.24</v>
      </c>
      <c r="F942" s="37" t="s">
        <v>1263</v>
      </c>
      <c r="G942" s="37" t="s">
        <v>11</v>
      </c>
      <c r="H942" s="37" t="s">
        <v>17</v>
      </c>
      <c r="I942" s="37" t="s">
        <v>35</v>
      </c>
      <c r="J942" s="80">
        <v>44344</v>
      </c>
      <c r="K942" s="12" t="s">
        <v>295</v>
      </c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</row>
    <row r="943" spans="1:47" ht="15.75" customHeight="1">
      <c r="A943" s="56">
        <v>44704</v>
      </c>
      <c r="B943" s="12">
        <v>6986262</v>
      </c>
      <c r="C943" s="12" t="s">
        <v>14</v>
      </c>
      <c r="D943" s="46" t="s">
        <v>861</v>
      </c>
      <c r="E943" s="58">
        <v>20000</v>
      </c>
      <c r="F943" s="37" t="s">
        <v>398</v>
      </c>
      <c r="G943" s="37" t="s">
        <v>11</v>
      </c>
      <c r="H943" s="37" t="s">
        <v>17</v>
      </c>
      <c r="I943" s="37" t="s">
        <v>369</v>
      </c>
      <c r="J943" s="80">
        <v>44503</v>
      </c>
      <c r="K943" s="12" t="s">
        <v>309</v>
      </c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</row>
    <row r="944" spans="1:47" ht="15.75" customHeight="1">
      <c r="A944" s="56">
        <v>44705</v>
      </c>
      <c r="B944" s="114" t="s">
        <v>1264</v>
      </c>
      <c r="C944" s="109" t="s">
        <v>14</v>
      </c>
      <c r="D944" s="110" t="s">
        <v>861</v>
      </c>
      <c r="E944" s="111">
        <v>150000</v>
      </c>
      <c r="F944" s="100" t="s">
        <v>359</v>
      </c>
      <c r="G944" s="100" t="s">
        <v>11</v>
      </c>
      <c r="H944" s="100" t="s">
        <v>17</v>
      </c>
      <c r="I944" s="100" t="s">
        <v>847</v>
      </c>
      <c r="J944" s="115">
        <v>44130</v>
      </c>
      <c r="K944" s="109" t="s">
        <v>298</v>
      </c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</row>
    <row r="945" spans="1:47" ht="15.75" customHeight="1">
      <c r="A945" s="56">
        <v>44707</v>
      </c>
      <c r="B945" s="109">
        <v>6866947</v>
      </c>
      <c r="C945" s="109" t="s">
        <v>14</v>
      </c>
      <c r="D945" s="110" t="s">
        <v>861</v>
      </c>
      <c r="E945" s="111">
        <v>5000</v>
      </c>
      <c r="F945" s="100" t="s">
        <v>352</v>
      </c>
      <c r="G945" s="100" t="s">
        <v>11</v>
      </c>
      <c r="H945" s="100" t="s">
        <v>17</v>
      </c>
      <c r="I945" s="100" t="s">
        <v>35</v>
      </c>
      <c r="J945" s="115">
        <v>44497</v>
      </c>
      <c r="K945" s="109" t="s">
        <v>302</v>
      </c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</row>
    <row r="946" spans="1:47" ht="15.75" customHeight="1">
      <c r="A946" s="56">
        <v>44707</v>
      </c>
      <c r="B946" s="109">
        <v>385035</v>
      </c>
      <c r="C946" s="109" t="s">
        <v>150</v>
      </c>
      <c r="D946" s="110" t="s">
        <v>861</v>
      </c>
      <c r="E946" s="111">
        <v>53252</v>
      </c>
      <c r="F946" s="100" t="s">
        <v>1265</v>
      </c>
      <c r="G946" s="110" t="s">
        <v>107</v>
      </c>
      <c r="H946" s="110" t="s">
        <v>12</v>
      </c>
      <c r="I946" s="110" t="s">
        <v>108</v>
      </c>
      <c r="J946" s="116">
        <v>43811</v>
      </c>
      <c r="K946" s="117" t="s">
        <v>302</v>
      </c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</row>
    <row r="947" spans="1:47" ht="15.75" customHeight="1">
      <c r="A947" s="56">
        <v>44707</v>
      </c>
      <c r="B947" s="109">
        <v>798500</v>
      </c>
      <c r="C947" s="109" t="s">
        <v>150</v>
      </c>
      <c r="D947" s="110" t="s">
        <v>861</v>
      </c>
      <c r="E947" s="111">
        <v>15000</v>
      </c>
      <c r="F947" s="100" t="s">
        <v>1266</v>
      </c>
      <c r="G947" s="100" t="s">
        <v>11</v>
      </c>
      <c r="H947" s="110" t="s">
        <v>9</v>
      </c>
      <c r="I947" s="110" t="s">
        <v>98</v>
      </c>
      <c r="J947" s="112">
        <v>44299</v>
      </c>
      <c r="K947" s="117" t="s">
        <v>298</v>
      </c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</row>
    <row r="948" spans="1:47" ht="15.75" customHeight="1">
      <c r="A948" s="56">
        <v>44713</v>
      </c>
      <c r="B948" s="109">
        <v>4681835</v>
      </c>
      <c r="C948" s="109" t="s">
        <v>14</v>
      </c>
      <c r="D948" s="110" t="s">
        <v>237</v>
      </c>
      <c r="E948" s="111">
        <v>93639.74</v>
      </c>
      <c r="F948" s="100" t="s">
        <v>488</v>
      </c>
      <c r="G948" s="100" t="s">
        <v>24</v>
      </c>
      <c r="H948" s="110" t="s">
        <v>12</v>
      </c>
      <c r="I948" s="110" t="s">
        <v>336</v>
      </c>
      <c r="J948" s="112">
        <v>44204</v>
      </c>
      <c r="K948" s="117" t="s">
        <v>295</v>
      </c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</row>
    <row r="949" spans="1:47" ht="15.75" customHeight="1">
      <c r="A949" s="81">
        <v>44713</v>
      </c>
      <c r="B949" s="118" t="s">
        <v>1034</v>
      </c>
      <c r="C949" s="109" t="s">
        <v>14</v>
      </c>
      <c r="D949" s="119" t="s">
        <v>861</v>
      </c>
      <c r="E949" s="120">
        <v>4000</v>
      </c>
      <c r="F949" s="119" t="s">
        <v>47</v>
      </c>
      <c r="G949" s="119" t="s">
        <v>11</v>
      </c>
      <c r="H949" s="119" t="s">
        <v>17</v>
      </c>
      <c r="I949" s="119" t="s">
        <v>35</v>
      </c>
      <c r="J949" s="121">
        <v>44407</v>
      </c>
      <c r="K949" s="109" t="s">
        <v>343</v>
      </c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</row>
    <row r="950" spans="1:47" ht="15.75" customHeight="1">
      <c r="A950" s="56">
        <v>44714</v>
      </c>
      <c r="B950" s="109">
        <v>2956150</v>
      </c>
      <c r="C950" s="109" t="s">
        <v>120</v>
      </c>
      <c r="D950" s="110" t="s">
        <v>861</v>
      </c>
      <c r="E950" s="111">
        <v>3000</v>
      </c>
      <c r="F950" s="100" t="s">
        <v>126</v>
      </c>
      <c r="G950" s="100" t="s">
        <v>11</v>
      </c>
      <c r="H950" s="110" t="s">
        <v>12</v>
      </c>
      <c r="I950" s="110" t="s">
        <v>765</v>
      </c>
      <c r="J950" s="112">
        <v>44062</v>
      </c>
      <c r="K950" s="117" t="s">
        <v>298</v>
      </c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</row>
    <row r="951" spans="1:47" ht="15.75" customHeight="1">
      <c r="A951" s="81">
        <v>44715</v>
      </c>
      <c r="B951" s="118">
        <v>3553004</v>
      </c>
      <c r="C951" s="109" t="s">
        <v>14</v>
      </c>
      <c r="D951" s="119" t="s">
        <v>54</v>
      </c>
      <c r="E951" s="120">
        <v>73682.14</v>
      </c>
      <c r="F951" s="119" t="s">
        <v>381</v>
      </c>
      <c r="G951" s="119" t="s">
        <v>107</v>
      </c>
      <c r="H951" s="119" t="s">
        <v>12</v>
      </c>
      <c r="I951" s="119" t="s">
        <v>107</v>
      </c>
      <c r="J951" s="121">
        <v>43742</v>
      </c>
      <c r="K951" s="109" t="s">
        <v>382</v>
      </c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</row>
    <row r="952" spans="1:47" ht="15.75" customHeight="1">
      <c r="A952" s="81">
        <v>44718</v>
      </c>
      <c r="B952" s="118" t="s">
        <v>1267</v>
      </c>
      <c r="C952" s="109" t="s">
        <v>14</v>
      </c>
      <c r="D952" s="119" t="s">
        <v>237</v>
      </c>
      <c r="E952" s="120" t="s">
        <v>1268</v>
      </c>
      <c r="F952" s="119" t="s">
        <v>1269</v>
      </c>
      <c r="G952" s="119" t="s">
        <v>11</v>
      </c>
      <c r="H952" s="119" t="s">
        <v>17</v>
      </c>
      <c r="I952" s="119" t="s">
        <v>35</v>
      </c>
      <c r="J952" s="121">
        <v>44405</v>
      </c>
      <c r="K952" s="109" t="s">
        <v>304</v>
      </c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</row>
    <row r="953" spans="1:47" ht="15.75" customHeight="1">
      <c r="A953" s="81">
        <v>44718</v>
      </c>
      <c r="B953" s="118" t="s">
        <v>1062</v>
      </c>
      <c r="C953" s="109" t="s">
        <v>14</v>
      </c>
      <c r="D953" s="119" t="s">
        <v>861</v>
      </c>
      <c r="E953" s="120">
        <v>127458.23</v>
      </c>
      <c r="F953" s="119" t="s">
        <v>299</v>
      </c>
      <c r="G953" s="119" t="s">
        <v>11</v>
      </c>
      <c r="H953" s="119" t="s">
        <v>12</v>
      </c>
      <c r="I953" s="119" t="s">
        <v>300</v>
      </c>
      <c r="J953" s="121">
        <v>44326</v>
      </c>
      <c r="K953" s="109" t="s">
        <v>301</v>
      </c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</row>
    <row r="954" spans="1:47" ht="15.75" customHeight="1">
      <c r="A954" s="81">
        <v>44719</v>
      </c>
      <c r="B954" s="118" t="s">
        <v>1270</v>
      </c>
      <c r="C954" s="109" t="s">
        <v>14</v>
      </c>
      <c r="D954" s="119" t="s">
        <v>54</v>
      </c>
      <c r="E954" s="120">
        <v>185758.05</v>
      </c>
      <c r="F954" s="119" t="s">
        <v>452</v>
      </c>
      <c r="G954" s="119" t="s">
        <v>24</v>
      </c>
      <c r="H954" s="119" t="s">
        <v>12</v>
      </c>
      <c r="I954" s="119" t="s">
        <v>365</v>
      </c>
      <c r="J954" s="121">
        <v>44218</v>
      </c>
      <c r="K954" s="109" t="s">
        <v>304</v>
      </c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</row>
    <row r="955" spans="1:47" ht="15.75" customHeight="1">
      <c r="A955" s="81">
        <v>44719</v>
      </c>
      <c r="B955" s="118" t="s">
        <v>1271</v>
      </c>
      <c r="C955" s="109" t="s">
        <v>14</v>
      </c>
      <c r="D955" s="119" t="s">
        <v>861</v>
      </c>
      <c r="E955" s="120">
        <v>470001.08</v>
      </c>
      <c r="F955" s="119" t="s">
        <v>354</v>
      </c>
      <c r="G955" s="119" t="s">
        <v>24</v>
      </c>
      <c r="H955" s="119" t="s">
        <v>12</v>
      </c>
      <c r="I955" s="119" t="s">
        <v>355</v>
      </c>
      <c r="J955" s="121">
        <v>44103</v>
      </c>
      <c r="K955" s="109" t="s">
        <v>302</v>
      </c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</row>
    <row r="956" spans="1:47" ht="15.75" customHeight="1">
      <c r="A956" s="81">
        <v>44720</v>
      </c>
      <c r="B956" s="118" t="s">
        <v>1209</v>
      </c>
      <c r="C956" s="109" t="s">
        <v>14</v>
      </c>
      <c r="D956" s="119" t="s">
        <v>861</v>
      </c>
      <c r="E956" s="120">
        <v>30000</v>
      </c>
      <c r="F956" s="119" t="s">
        <v>1210</v>
      </c>
      <c r="G956" s="119" t="s">
        <v>11</v>
      </c>
      <c r="H956" s="119" t="s">
        <v>17</v>
      </c>
      <c r="I956" s="119" t="s">
        <v>26</v>
      </c>
      <c r="J956" s="121">
        <v>44645</v>
      </c>
      <c r="K956" s="109" t="s">
        <v>298</v>
      </c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</row>
    <row r="957" spans="1:47" ht="15.75" customHeight="1">
      <c r="A957" s="81">
        <v>44721</v>
      </c>
      <c r="B957" s="118" t="s">
        <v>1139</v>
      </c>
      <c r="C957" s="109" t="s">
        <v>14</v>
      </c>
      <c r="D957" s="119" t="s">
        <v>861</v>
      </c>
      <c r="E957" s="120">
        <v>20000</v>
      </c>
      <c r="F957" s="119" t="s">
        <v>384</v>
      </c>
      <c r="G957" s="119" t="s">
        <v>11</v>
      </c>
      <c r="H957" s="119" t="s">
        <v>12</v>
      </c>
      <c r="I957" s="119" t="s">
        <v>125</v>
      </c>
      <c r="J957" s="121">
        <v>44399</v>
      </c>
      <c r="K957" s="109" t="s">
        <v>298</v>
      </c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</row>
    <row r="958" spans="1:47" ht="15.75" customHeight="1">
      <c r="A958" s="81">
        <v>44726</v>
      </c>
      <c r="B958" s="118" t="s">
        <v>1183</v>
      </c>
      <c r="C958" s="109" t="s">
        <v>14</v>
      </c>
      <c r="D958" s="119" t="s">
        <v>861</v>
      </c>
      <c r="E958" s="120">
        <v>20000</v>
      </c>
      <c r="F958" s="119" t="s">
        <v>69</v>
      </c>
      <c r="G958" s="119" t="s">
        <v>11</v>
      </c>
      <c r="H958" s="119" t="s">
        <v>12</v>
      </c>
      <c r="I958" s="119" t="s">
        <v>512</v>
      </c>
      <c r="J958" s="121">
        <v>44594</v>
      </c>
      <c r="K958" s="109" t="s">
        <v>301</v>
      </c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</row>
    <row r="959" spans="1:47" ht="15.75" customHeight="1">
      <c r="A959" s="81">
        <v>44727</v>
      </c>
      <c r="B959" s="118" t="s">
        <v>1272</v>
      </c>
      <c r="C959" s="109" t="s">
        <v>14</v>
      </c>
      <c r="D959" s="119" t="s">
        <v>237</v>
      </c>
      <c r="E959" s="120">
        <v>9396.31</v>
      </c>
      <c r="F959" s="119" t="s">
        <v>385</v>
      </c>
      <c r="G959" s="119" t="s">
        <v>11</v>
      </c>
      <c r="H959" s="119" t="s">
        <v>12</v>
      </c>
      <c r="I959" s="119" t="s">
        <v>386</v>
      </c>
      <c r="J959" s="121">
        <v>44323</v>
      </c>
      <c r="K959" s="109" t="s">
        <v>301</v>
      </c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</row>
    <row r="960" spans="1:47" ht="15.75" customHeight="1">
      <c r="A960" s="81">
        <v>44727</v>
      </c>
      <c r="B960" s="118" t="s">
        <v>1273</v>
      </c>
      <c r="C960" s="109" t="s">
        <v>14</v>
      </c>
      <c r="D960" s="119" t="s">
        <v>861</v>
      </c>
      <c r="E960" s="120">
        <v>44000</v>
      </c>
      <c r="F960" s="119" t="s">
        <v>65</v>
      </c>
      <c r="G960" s="119" t="s">
        <v>24</v>
      </c>
      <c r="H960" s="119" t="s">
        <v>12</v>
      </c>
      <c r="I960" s="119">
        <v>4551730</v>
      </c>
      <c r="J960" s="121">
        <v>44138</v>
      </c>
      <c r="K960" s="109" t="s">
        <v>302</v>
      </c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</row>
    <row r="961" spans="1:47" ht="15.75" customHeight="1">
      <c r="A961" s="81">
        <v>44732</v>
      </c>
      <c r="B961" s="118">
        <v>4068685</v>
      </c>
      <c r="C961" s="109" t="s">
        <v>14</v>
      </c>
      <c r="D961" s="119" t="s">
        <v>861</v>
      </c>
      <c r="E961" s="120">
        <v>250000</v>
      </c>
      <c r="F961" s="119" t="s">
        <v>359</v>
      </c>
      <c r="G961" s="119" t="s">
        <v>11</v>
      </c>
      <c r="H961" s="119" t="s">
        <v>17</v>
      </c>
      <c r="I961" s="119" t="s">
        <v>847</v>
      </c>
      <c r="J961" s="121">
        <v>44130</v>
      </c>
      <c r="K961" s="109" t="s">
        <v>298</v>
      </c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</row>
    <row r="962" spans="1:47" ht="15.75" customHeight="1">
      <c r="A962" s="81">
        <v>44734</v>
      </c>
      <c r="B962" s="118" t="s">
        <v>1271</v>
      </c>
      <c r="C962" s="109" t="s">
        <v>14</v>
      </c>
      <c r="D962" s="119" t="s">
        <v>861</v>
      </c>
      <c r="E962" s="120">
        <v>823824</v>
      </c>
      <c r="F962" s="119" t="s">
        <v>354</v>
      </c>
      <c r="G962" s="119" t="s">
        <v>24</v>
      </c>
      <c r="H962" s="119" t="s">
        <v>12</v>
      </c>
      <c r="I962" s="119" t="s">
        <v>355</v>
      </c>
      <c r="J962" s="121">
        <v>44103</v>
      </c>
      <c r="K962" s="109" t="s">
        <v>302</v>
      </c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</row>
    <row r="963" spans="1:47" ht="15.75" customHeight="1">
      <c r="A963" s="81">
        <v>44735</v>
      </c>
      <c r="B963" s="118" t="s">
        <v>916</v>
      </c>
      <c r="C963" s="109" t="s">
        <v>150</v>
      </c>
      <c r="D963" s="119" t="s">
        <v>237</v>
      </c>
      <c r="E963" s="120">
        <v>64448.81</v>
      </c>
      <c r="F963" s="119" t="s">
        <v>173</v>
      </c>
      <c r="G963" s="119" t="s">
        <v>107</v>
      </c>
      <c r="H963" s="119" t="s">
        <v>12</v>
      </c>
      <c r="I963" s="119" t="s">
        <v>108</v>
      </c>
      <c r="J963" s="121">
        <v>43707</v>
      </c>
      <c r="K963" s="109" t="s">
        <v>304</v>
      </c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</row>
    <row r="964" spans="1:47" ht="15.75" customHeight="1">
      <c r="A964" s="81">
        <v>44739</v>
      </c>
      <c r="B964" s="118" t="s">
        <v>1274</v>
      </c>
      <c r="C964" s="109" t="s">
        <v>14</v>
      </c>
      <c r="D964" s="119" t="s">
        <v>861</v>
      </c>
      <c r="E964" s="120">
        <v>10000</v>
      </c>
      <c r="F964" s="119" t="s">
        <v>1275</v>
      </c>
      <c r="G964" s="119" t="s">
        <v>11</v>
      </c>
      <c r="H964" s="119" t="s">
        <v>17</v>
      </c>
      <c r="I964" s="119" t="s">
        <v>26</v>
      </c>
      <c r="J964" s="121">
        <v>44715</v>
      </c>
      <c r="K964" s="109" t="s">
        <v>302</v>
      </c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</row>
    <row r="965" spans="1:47" ht="15.75" customHeight="1">
      <c r="A965" s="81">
        <v>44739</v>
      </c>
      <c r="B965" s="118" t="s">
        <v>1276</v>
      </c>
      <c r="C965" s="109" t="s">
        <v>14</v>
      </c>
      <c r="D965" s="119" t="s">
        <v>861</v>
      </c>
      <c r="E965" s="120">
        <v>323000</v>
      </c>
      <c r="F965" s="119" t="s">
        <v>419</v>
      </c>
      <c r="G965" s="119" t="s">
        <v>11</v>
      </c>
      <c r="H965" s="119" t="s">
        <v>17</v>
      </c>
      <c r="I965" s="119" t="s">
        <v>26</v>
      </c>
      <c r="J965" s="121">
        <v>44694</v>
      </c>
      <c r="K965" s="109" t="s">
        <v>301</v>
      </c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</row>
    <row r="966" spans="1:47" ht="15.75" customHeight="1">
      <c r="A966" s="81">
        <v>44740</v>
      </c>
      <c r="B966" s="118" t="s">
        <v>1008</v>
      </c>
      <c r="C966" s="109" t="s">
        <v>14</v>
      </c>
      <c r="D966" s="119" t="s">
        <v>54</v>
      </c>
      <c r="E966" s="120">
        <v>3147.95</v>
      </c>
      <c r="F966" s="119" t="s">
        <v>60</v>
      </c>
      <c r="G966" s="119" t="s">
        <v>24</v>
      </c>
      <c r="H966" s="119" t="s">
        <v>12</v>
      </c>
      <c r="I966" s="119" t="s">
        <v>365</v>
      </c>
      <c r="J966" s="121">
        <v>44145</v>
      </c>
      <c r="K966" s="109" t="s">
        <v>295</v>
      </c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</row>
    <row r="967" spans="1:47" ht="15.75" customHeight="1">
      <c r="A967" s="81">
        <v>44740</v>
      </c>
      <c r="B967" s="118" t="s">
        <v>1277</v>
      </c>
      <c r="C967" s="109" t="s">
        <v>14</v>
      </c>
      <c r="D967" s="119" t="s">
        <v>861</v>
      </c>
      <c r="E967" s="120">
        <v>35000</v>
      </c>
      <c r="F967" s="119" t="s">
        <v>364</v>
      </c>
      <c r="G967" s="119" t="s">
        <v>11</v>
      </c>
      <c r="H967" s="119" t="s">
        <v>17</v>
      </c>
      <c r="I967" s="119" t="s">
        <v>510</v>
      </c>
      <c r="J967" s="121">
        <v>44445</v>
      </c>
      <c r="K967" s="109" t="s">
        <v>301</v>
      </c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</row>
    <row r="968" spans="1:47" ht="15.75" customHeight="1">
      <c r="A968" s="81">
        <v>44740</v>
      </c>
      <c r="B968" s="118" t="s">
        <v>1278</v>
      </c>
      <c r="C968" s="109" t="s">
        <v>14</v>
      </c>
      <c r="D968" s="119" t="s">
        <v>237</v>
      </c>
      <c r="E968" s="120" t="s">
        <v>1279</v>
      </c>
      <c r="F968" s="119" t="s">
        <v>356</v>
      </c>
      <c r="G968" s="119" t="s">
        <v>11</v>
      </c>
      <c r="H968" s="119" t="s">
        <v>17</v>
      </c>
      <c r="I968" s="119" t="s">
        <v>35</v>
      </c>
      <c r="J968" s="121">
        <v>44466</v>
      </c>
      <c r="K968" s="109" t="s">
        <v>304</v>
      </c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</row>
    <row r="969" spans="1:47" ht="15.75" customHeight="1">
      <c r="A969" s="81">
        <v>44741</v>
      </c>
      <c r="B969" s="118" t="s">
        <v>1280</v>
      </c>
      <c r="C969" s="109" t="s">
        <v>14</v>
      </c>
      <c r="D969" s="119" t="s">
        <v>861</v>
      </c>
      <c r="E969" s="120">
        <v>350000</v>
      </c>
      <c r="F969" s="119" t="s">
        <v>68</v>
      </c>
      <c r="G969" s="119" t="s">
        <v>11</v>
      </c>
      <c r="H969" s="119" t="s">
        <v>17</v>
      </c>
      <c r="I969" s="119" t="s">
        <v>28</v>
      </c>
      <c r="J969" s="121">
        <v>44568</v>
      </c>
      <c r="K969" s="109" t="s">
        <v>432</v>
      </c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</row>
    <row r="970" spans="1:47" ht="15.75" customHeight="1">
      <c r="A970" s="81">
        <v>44741</v>
      </c>
      <c r="B970" s="118" t="s">
        <v>1281</v>
      </c>
      <c r="C970" s="109" t="s">
        <v>14</v>
      </c>
      <c r="D970" s="119" t="s">
        <v>861</v>
      </c>
      <c r="E970" s="120">
        <v>15000</v>
      </c>
      <c r="F970" s="119" t="s">
        <v>469</v>
      </c>
      <c r="G970" s="119" t="s">
        <v>11</v>
      </c>
      <c r="H970" s="119" t="s">
        <v>17</v>
      </c>
      <c r="I970" s="119" t="s">
        <v>847</v>
      </c>
      <c r="J970" s="121">
        <v>44679</v>
      </c>
      <c r="K970" s="109" t="s">
        <v>298</v>
      </c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</row>
    <row r="971" spans="1:47" ht="15.75" customHeight="1">
      <c r="A971" s="81">
        <v>44746</v>
      </c>
      <c r="B971" s="118" t="s">
        <v>1282</v>
      </c>
      <c r="C971" s="109" t="s">
        <v>150</v>
      </c>
      <c r="D971" s="119" t="s">
        <v>237</v>
      </c>
      <c r="E971" s="120">
        <v>53398.09</v>
      </c>
      <c r="F971" s="119" t="s">
        <v>286</v>
      </c>
      <c r="G971" s="119" t="s">
        <v>11</v>
      </c>
      <c r="H971" s="119" t="s">
        <v>9</v>
      </c>
      <c r="I971" s="119" t="s">
        <v>29</v>
      </c>
      <c r="J971" s="121">
        <v>44335</v>
      </c>
      <c r="K971" s="109" t="s">
        <v>298</v>
      </c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</row>
    <row r="972" spans="1:47" ht="15.75" customHeight="1">
      <c r="A972" s="81">
        <v>44753</v>
      </c>
      <c r="B972" s="118" t="s">
        <v>1283</v>
      </c>
      <c r="C972" s="109" t="s">
        <v>14</v>
      </c>
      <c r="D972" s="119" t="s">
        <v>237</v>
      </c>
      <c r="E972" s="120">
        <v>102018.55</v>
      </c>
      <c r="F972" s="119" t="s">
        <v>1284</v>
      </c>
      <c r="G972" s="119" t="s">
        <v>11</v>
      </c>
      <c r="H972" s="119" t="s">
        <v>12</v>
      </c>
      <c r="I972" s="119" t="s">
        <v>16</v>
      </c>
      <c r="J972" s="121">
        <v>44655</v>
      </c>
      <c r="K972" s="109" t="s">
        <v>298</v>
      </c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</row>
    <row r="973" spans="1:47" ht="15.75" customHeight="1">
      <c r="A973" s="81">
        <v>44753</v>
      </c>
      <c r="B973" s="118" t="s">
        <v>932</v>
      </c>
      <c r="C973" s="109" t="s">
        <v>14</v>
      </c>
      <c r="D973" s="119" t="s">
        <v>861</v>
      </c>
      <c r="E973" s="120">
        <v>5000</v>
      </c>
      <c r="F973" s="119" t="s">
        <v>415</v>
      </c>
      <c r="G973" s="119" t="s">
        <v>11</v>
      </c>
      <c r="H973" s="119" t="s">
        <v>17</v>
      </c>
      <c r="I973" s="119" t="s">
        <v>316</v>
      </c>
      <c r="J973" s="121">
        <v>44263</v>
      </c>
      <c r="K973" s="109" t="s">
        <v>301</v>
      </c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</row>
    <row r="974" spans="1:47" ht="15.75" customHeight="1">
      <c r="A974" s="81">
        <v>44754</v>
      </c>
      <c r="B974" s="118" t="s">
        <v>1274</v>
      </c>
      <c r="C974" s="109" t="s">
        <v>14</v>
      </c>
      <c r="D974" s="119" t="s">
        <v>861</v>
      </c>
      <c r="E974" s="120">
        <v>10000</v>
      </c>
      <c r="F974" s="119" t="s">
        <v>1275</v>
      </c>
      <c r="G974" s="119" t="s">
        <v>11</v>
      </c>
      <c r="H974" s="119" t="s">
        <v>17</v>
      </c>
      <c r="I974" s="119" t="s">
        <v>26</v>
      </c>
      <c r="J974" s="121">
        <v>44715</v>
      </c>
      <c r="K974" s="109" t="s">
        <v>302</v>
      </c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</row>
    <row r="975" spans="1:47" ht="15.75" customHeight="1">
      <c r="A975" s="81">
        <v>44754</v>
      </c>
      <c r="B975" s="118" t="s">
        <v>1274</v>
      </c>
      <c r="C975" s="109" t="s">
        <v>14</v>
      </c>
      <c r="D975" s="119" t="s">
        <v>861</v>
      </c>
      <c r="E975" s="120">
        <v>10000</v>
      </c>
      <c r="F975" s="119" t="s">
        <v>1275</v>
      </c>
      <c r="G975" s="119" t="s">
        <v>11</v>
      </c>
      <c r="H975" s="119" t="s">
        <v>17</v>
      </c>
      <c r="I975" s="119" t="s">
        <v>26</v>
      </c>
      <c r="J975" s="121">
        <v>44715</v>
      </c>
      <c r="K975" s="109" t="s">
        <v>302</v>
      </c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</row>
    <row r="976" spans="1:47" ht="15.75" customHeight="1">
      <c r="A976" s="81">
        <v>44756</v>
      </c>
      <c r="B976" s="118" t="s">
        <v>1234</v>
      </c>
      <c r="C976" s="109" t="s">
        <v>14</v>
      </c>
      <c r="D976" s="119" t="s">
        <v>861</v>
      </c>
      <c r="E976" s="120">
        <v>7141.5</v>
      </c>
      <c r="F976" s="119" t="s">
        <v>303</v>
      </c>
      <c r="G976" s="119" t="s">
        <v>11</v>
      </c>
      <c r="H976" s="119" t="s">
        <v>17</v>
      </c>
      <c r="I976" s="119" t="s">
        <v>35</v>
      </c>
      <c r="J976" s="121">
        <v>44084</v>
      </c>
      <c r="K976" s="109" t="s">
        <v>304</v>
      </c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</row>
    <row r="977" spans="1:47" ht="15.75" customHeight="1">
      <c r="A977" s="81">
        <v>44760</v>
      </c>
      <c r="B977" s="118" t="s">
        <v>1285</v>
      </c>
      <c r="C977" s="109" t="s">
        <v>14</v>
      </c>
      <c r="D977" s="119" t="s">
        <v>54</v>
      </c>
      <c r="E977" s="120">
        <v>39350.99</v>
      </c>
      <c r="F977" s="119" t="s">
        <v>421</v>
      </c>
      <c r="G977" s="119" t="s">
        <v>11</v>
      </c>
      <c r="H977" s="119" t="s">
        <v>12</v>
      </c>
      <c r="I977" s="119" t="s">
        <v>16</v>
      </c>
      <c r="J977" s="121">
        <v>44615</v>
      </c>
      <c r="K977" s="109" t="s">
        <v>301</v>
      </c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</row>
    <row r="978" spans="1:47" ht="15.75" customHeight="1">
      <c r="A978" s="81">
        <v>44760</v>
      </c>
      <c r="B978" s="118" t="s">
        <v>1259</v>
      </c>
      <c r="C978" s="109" t="s">
        <v>14</v>
      </c>
      <c r="D978" s="119" t="s">
        <v>54</v>
      </c>
      <c r="E978" s="120">
        <v>10000</v>
      </c>
      <c r="F978" s="119" t="s">
        <v>70</v>
      </c>
      <c r="G978" s="119" t="s">
        <v>11</v>
      </c>
      <c r="H978" s="119" t="s">
        <v>17</v>
      </c>
      <c r="I978" s="119" t="s">
        <v>35</v>
      </c>
      <c r="J978" s="121">
        <v>44744</v>
      </c>
      <c r="K978" s="109" t="s">
        <v>295</v>
      </c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</row>
    <row r="979" spans="1:47" ht="15.75" customHeight="1">
      <c r="A979" s="81">
        <v>44760</v>
      </c>
      <c r="B979" s="118" t="s">
        <v>1259</v>
      </c>
      <c r="C979" s="109" t="s">
        <v>14</v>
      </c>
      <c r="D979" s="119" t="s">
        <v>861</v>
      </c>
      <c r="E979" s="120">
        <v>10000</v>
      </c>
      <c r="F979" s="119" t="s">
        <v>70</v>
      </c>
      <c r="G979" s="119" t="s">
        <v>11</v>
      </c>
      <c r="H979" s="119" t="s">
        <v>17</v>
      </c>
      <c r="I979" s="119" t="s">
        <v>35</v>
      </c>
      <c r="J979" s="121" t="s">
        <v>1286</v>
      </c>
      <c r="K979" s="109" t="s">
        <v>337</v>
      </c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</row>
    <row r="980" spans="1:47" ht="15.75" customHeight="1">
      <c r="A980" s="81">
        <v>44760</v>
      </c>
      <c r="B980" s="118" t="s">
        <v>1287</v>
      </c>
      <c r="C980" s="109" t="s">
        <v>14</v>
      </c>
      <c r="D980" s="119" t="s">
        <v>861</v>
      </c>
      <c r="E980" s="120">
        <v>15000</v>
      </c>
      <c r="F980" s="119" t="s">
        <v>380</v>
      </c>
      <c r="G980" s="119" t="s">
        <v>11</v>
      </c>
      <c r="H980" s="119" t="s">
        <v>12</v>
      </c>
      <c r="I980" s="119" t="s">
        <v>42</v>
      </c>
      <c r="J980" s="121">
        <v>44462</v>
      </c>
      <c r="K980" s="109" t="s">
        <v>295</v>
      </c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</row>
    <row r="981" spans="1:47" ht="15.75" customHeight="1">
      <c r="A981" s="81">
        <v>44761</v>
      </c>
      <c r="B981" s="118" t="s">
        <v>1172</v>
      </c>
      <c r="C981" s="109" t="s">
        <v>14</v>
      </c>
      <c r="D981" s="119" t="s">
        <v>861</v>
      </c>
      <c r="E981" s="120">
        <v>27000</v>
      </c>
      <c r="F981" s="119" t="s">
        <v>333</v>
      </c>
      <c r="G981" s="119" t="s">
        <v>11</v>
      </c>
      <c r="H981" s="119" t="s">
        <v>12</v>
      </c>
      <c r="I981" s="119" t="s">
        <v>334</v>
      </c>
      <c r="J981" s="121">
        <v>44061</v>
      </c>
      <c r="K981" s="109" t="s">
        <v>298</v>
      </c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</row>
    <row r="982" spans="1:47" ht="15.75" customHeight="1">
      <c r="A982" s="81">
        <v>44763</v>
      </c>
      <c r="B982" s="118" t="s">
        <v>960</v>
      </c>
      <c r="C982" s="109" t="s">
        <v>14</v>
      </c>
      <c r="D982" s="119" t="s">
        <v>861</v>
      </c>
      <c r="E982" s="120">
        <v>120000</v>
      </c>
      <c r="F982" s="119" t="s">
        <v>93</v>
      </c>
      <c r="G982" s="119" t="s">
        <v>24</v>
      </c>
      <c r="H982" s="119" t="s">
        <v>12</v>
      </c>
      <c r="I982" s="119" t="s">
        <v>358</v>
      </c>
      <c r="J982" s="121">
        <v>44134</v>
      </c>
      <c r="K982" s="109" t="s">
        <v>295</v>
      </c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</row>
    <row r="983" spans="1:47" ht="15.75" customHeight="1">
      <c r="A983" s="81">
        <v>44763</v>
      </c>
      <c r="B983" s="118" t="s">
        <v>1274</v>
      </c>
      <c r="C983" s="109" t="s">
        <v>14</v>
      </c>
      <c r="D983" s="119" t="s">
        <v>861</v>
      </c>
      <c r="E983" s="120">
        <v>10000</v>
      </c>
      <c r="F983" s="119" t="s">
        <v>1275</v>
      </c>
      <c r="G983" s="119" t="s">
        <v>11</v>
      </c>
      <c r="H983" s="119" t="s">
        <v>17</v>
      </c>
      <c r="I983" s="119" t="s">
        <v>26</v>
      </c>
      <c r="J983" s="121">
        <v>44715</v>
      </c>
      <c r="K983" s="109" t="s">
        <v>302</v>
      </c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</row>
    <row r="984" spans="1:47" ht="15.75" customHeight="1">
      <c r="A984" s="81">
        <v>44764</v>
      </c>
      <c r="B984" s="118" t="s">
        <v>1288</v>
      </c>
      <c r="C984" s="109" t="s">
        <v>14</v>
      </c>
      <c r="D984" s="119" t="s">
        <v>237</v>
      </c>
      <c r="E984" s="120">
        <v>82162.42</v>
      </c>
      <c r="F984" s="119" t="s">
        <v>407</v>
      </c>
      <c r="G984" s="119" t="s">
        <v>11</v>
      </c>
      <c r="H984" s="119" t="s">
        <v>12</v>
      </c>
      <c r="I984" s="119" t="s">
        <v>408</v>
      </c>
      <c r="J984" s="121">
        <v>44623</v>
      </c>
      <c r="K984" s="109" t="s">
        <v>301</v>
      </c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</row>
    <row r="985" spans="1:47" ht="15.75" customHeight="1">
      <c r="A985" s="81">
        <v>44764</v>
      </c>
      <c r="B985" s="118" t="s">
        <v>1289</v>
      </c>
      <c r="C985" s="109" t="s">
        <v>14</v>
      </c>
      <c r="D985" s="119" t="s">
        <v>237</v>
      </c>
      <c r="E985" s="120">
        <v>545597.31000000006</v>
      </c>
      <c r="F985" s="119" t="s">
        <v>506</v>
      </c>
      <c r="G985" s="119" t="s">
        <v>11</v>
      </c>
      <c r="H985" s="119" t="s">
        <v>12</v>
      </c>
      <c r="I985" s="119" t="s">
        <v>408</v>
      </c>
      <c r="J985" s="121">
        <v>44434</v>
      </c>
      <c r="K985" s="109" t="s">
        <v>301</v>
      </c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</row>
    <row r="986" spans="1:47" ht="15.75" customHeight="1">
      <c r="A986" s="81">
        <v>44764</v>
      </c>
      <c r="B986" s="118" t="s">
        <v>1192</v>
      </c>
      <c r="C986" s="109" t="s">
        <v>14</v>
      </c>
      <c r="D986" s="119" t="s">
        <v>861</v>
      </c>
      <c r="E986" s="120">
        <v>100000</v>
      </c>
      <c r="F986" s="119" t="s">
        <v>308</v>
      </c>
      <c r="G986" s="119" t="s">
        <v>11</v>
      </c>
      <c r="H986" s="119" t="s">
        <v>17</v>
      </c>
      <c r="I986" s="119" t="s">
        <v>26</v>
      </c>
      <c r="J986" s="121">
        <v>44609</v>
      </c>
      <c r="K986" s="109" t="s">
        <v>302</v>
      </c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</row>
    <row r="987" spans="1:47" ht="15.75" customHeight="1">
      <c r="A987" s="81">
        <v>44765</v>
      </c>
      <c r="B987" s="118" t="s">
        <v>1290</v>
      </c>
      <c r="C987" s="109" t="s">
        <v>14</v>
      </c>
      <c r="D987" s="119" t="s">
        <v>237</v>
      </c>
      <c r="E987" s="120">
        <v>674420.41</v>
      </c>
      <c r="F987" s="119" t="s">
        <v>1291</v>
      </c>
      <c r="G987" s="119" t="s">
        <v>11</v>
      </c>
      <c r="H987" s="119" t="s">
        <v>12</v>
      </c>
      <c r="I987" s="119" t="s">
        <v>408</v>
      </c>
      <c r="J987" s="121">
        <v>44370</v>
      </c>
      <c r="K987" s="109" t="s">
        <v>301</v>
      </c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</row>
    <row r="988" spans="1:47" ht="15.75" customHeight="1">
      <c r="A988" s="81">
        <v>44767</v>
      </c>
      <c r="B988" s="118" t="s">
        <v>1292</v>
      </c>
      <c r="C988" s="109" t="s">
        <v>14</v>
      </c>
      <c r="D988" s="119" t="s">
        <v>54</v>
      </c>
      <c r="E988" s="120">
        <v>152231.41</v>
      </c>
      <c r="F988" s="119" t="s">
        <v>403</v>
      </c>
      <c r="G988" s="119" t="s">
        <v>11</v>
      </c>
      <c r="H988" s="119" t="s">
        <v>17</v>
      </c>
      <c r="I988" s="119" t="s">
        <v>35</v>
      </c>
      <c r="J988" s="121">
        <v>44251</v>
      </c>
      <c r="K988" s="109" t="s">
        <v>304</v>
      </c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</row>
    <row r="989" spans="1:47" ht="15.75" customHeight="1">
      <c r="A989" s="81">
        <v>44768</v>
      </c>
      <c r="B989" s="118" t="s">
        <v>1196</v>
      </c>
      <c r="C989" s="109" t="s">
        <v>14</v>
      </c>
      <c r="D989" s="119" t="s">
        <v>861</v>
      </c>
      <c r="E989" s="120">
        <v>10000</v>
      </c>
      <c r="F989" s="119" t="s">
        <v>437</v>
      </c>
      <c r="G989" s="119" t="s">
        <v>11</v>
      </c>
      <c r="H989" s="119" t="s">
        <v>17</v>
      </c>
      <c r="I989" s="119" t="s">
        <v>26</v>
      </c>
      <c r="J989" s="121">
        <v>44615</v>
      </c>
      <c r="K989" s="109" t="s">
        <v>298</v>
      </c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</row>
    <row r="990" spans="1:47" ht="15.75" customHeight="1">
      <c r="A990" s="81">
        <v>44768</v>
      </c>
      <c r="B990" s="118" t="s">
        <v>1293</v>
      </c>
      <c r="C990" s="109" t="s">
        <v>14</v>
      </c>
      <c r="D990" s="119" t="s">
        <v>861</v>
      </c>
      <c r="E990" s="120">
        <v>20000</v>
      </c>
      <c r="F990" s="119" t="s">
        <v>1294</v>
      </c>
      <c r="G990" s="119" t="s">
        <v>11</v>
      </c>
      <c r="H990" s="119" t="s">
        <v>12</v>
      </c>
      <c r="I990" s="119" t="s">
        <v>42</v>
      </c>
      <c r="J990" s="121">
        <v>44460</v>
      </c>
      <c r="K990" s="109" t="s">
        <v>301</v>
      </c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</row>
    <row r="991" spans="1:47" ht="15.75" customHeight="1">
      <c r="A991" s="81">
        <v>44768</v>
      </c>
      <c r="B991" s="118" t="s">
        <v>1295</v>
      </c>
      <c r="C991" s="109" t="s">
        <v>14</v>
      </c>
      <c r="D991" s="119" t="s">
        <v>861</v>
      </c>
      <c r="E991" s="120">
        <v>3000</v>
      </c>
      <c r="F991" s="119" t="s">
        <v>463</v>
      </c>
      <c r="G991" s="119" t="s">
        <v>11</v>
      </c>
      <c r="H991" s="119" t="s">
        <v>12</v>
      </c>
      <c r="I991" s="119" t="s">
        <v>125</v>
      </c>
      <c r="J991" s="121">
        <v>44393</v>
      </c>
      <c r="K991" s="109" t="s">
        <v>295</v>
      </c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</row>
    <row r="992" spans="1:47" ht="15.75" customHeight="1">
      <c r="A992" s="81">
        <v>44768</v>
      </c>
      <c r="B992" s="118" t="s">
        <v>1296</v>
      </c>
      <c r="C992" s="109" t="s">
        <v>14</v>
      </c>
      <c r="D992" s="119" t="s">
        <v>861</v>
      </c>
      <c r="E992" s="120">
        <v>5000</v>
      </c>
      <c r="F992" s="119" t="s">
        <v>31</v>
      </c>
      <c r="G992" s="119" t="s">
        <v>11</v>
      </c>
      <c r="H992" s="119" t="s">
        <v>12</v>
      </c>
      <c r="I992" s="119" t="s">
        <v>110</v>
      </c>
      <c r="J992" s="121">
        <v>44335</v>
      </c>
      <c r="K992" s="109" t="s">
        <v>309</v>
      </c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</row>
    <row r="993" spans="1:47" ht="15.75" customHeight="1">
      <c r="A993" s="81">
        <v>44768</v>
      </c>
      <c r="B993" s="118" t="s">
        <v>1297</v>
      </c>
      <c r="C993" s="109" t="s">
        <v>14</v>
      </c>
      <c r="D993" s="119" t="s">
        <v>861</v>
      </c>
      <c r="E993" s="120">
        <v>18000</v>
      </c>
      <c r="F993" s="119" t="s">
        <v>398</v>
      </c>
      <c r="G993" s="119" t="s">
        <v>11</v>
      </c>
      <c r="H993" s="119" t="s">
        <v>17</v>
      </c>
      <c r="I993" s="119" t="s">
        <v>369</v>
      </c>
      <c r="J993" s="121">
        <v>44503</v>
      </c>
      <c r="K993" s="109" t="s">
        <v>309</v>
      </c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</row>
    <row r="994" spans="1:47" ht="15.75" customHeight="1">
      <c r="A994" s="81">
        <v>44769</v>
      </c>
      <c r="B994" s="118" t="s">
        <v>1298</v>
      </c>
      <c r="C994" s="109" t="s">
        <v>14</v>
      </c>
      <c r="D994" s="119" t="s">
        <v>237</v>
      </c>
      <c r="E994" s="120">
        <v>101231.24</v>
      </c>
      <c r="F994" s="119" t="s">
        <v>388</v>
      </c>
      <c r="G994" s="119" t="s">
        <v>11</v>
      </c>
      <c r="H994" s="119" t="s">
        <v>17</v>
      </c>
      <c r="I994" s="119" t="s">
        <v>369</v>
      </c>
      <c r="J994" s="121">
        <v>44462</v>
      </c>
      <c r="K994" s="109" t="s">
        <v>298</v>
      </c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</row>
    <row r="995" spans="1:47" ht="15.75" customHeight="1">
      <c r="A995" s="81">
        <v>44769</v>
      </c>
      <c r="B995" s="118" t="s">
        <v>127</v>
      </c>
      <c r="C995" s="109" t="s">
        <v>120</v>
      </c>
      <c r="D995" s="119" t="s">
        <v>861</v>
      </c>
      <c r="E995" s="120">
        <v>8500</v>
      </c>
      <c r="F995" s="119" t="s">
        <v>126</v>
      </c>
      <c r="G995" s="119" t="s">
        <v>11</v>
      </c>
      <c r="H995" s="119" t="s">
        <v>12</v>
      </c>
      <c r="I995" s="119" t="s">
        <v>765</v>
      </c>
      <c r="J995" s="121">
        <v>44062</v>
      </c>
      <c r="K995" s="109" t="s">
        <v>298</v>
      </c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</row>
    <row r="996" spans="1:47" ht="15.75" customHeight="1">
      <c r="A996" s="81">
        <v>44769</v>
      </c>
      <c r="B996" s="118" t="s">
        <v>1209</v>
      </c>
      <c r="C996" s="109" t="s">
        <v>14</v>
      </c>
      <c r="D996" s="119" t="s">
        <v>861</v>
      </c>
      <c r="E996" s="120">
        <v>90000</v>
      </c>
      <c r="F996" s="119" t="s">
        <v>1210</v>
      </c>
      <c r="G996" s="119" t="s">
        <v>11</v>
      </c>
      <c r="H996" s="119" t="s">
        <v>17</v>
      </c>
      <c r="I996" s="119" t="s">
        <v>26</v>
      </c>
      <c r="J996" s="121">
        <v>44645</v>
      </c>
      <c r="K996" s="109" t="s">
        <v>298</v>
      </c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</row>
    <row r="997" spans="1:47" ht="15.75" customHeight="1">
      <c r="A997" s="81">
        <v>44769</v>
      </c>
      <c r="B997" s="118" t="s">
        <v>1299</v>
      </c>
      <c r="C997" s="109" t="s">
        <v>14</v>
      </c>
      <c r="D997" s="119" t="s">
        <v>237</v>
      </c>
      <c r="E997" s="120">
        <v>5000</v>
      </c>
      <c r="F997" s="119" t="s">
        <v>492</v>
      </c>
      <c r="G997" s="119" t="s">
        <v>11</v>
      </c>
      <c r="H997" s="119" t="s">
        <v>17</v>
      </c>
      <c r="I997" s="119" t="s">
        <v>35</v>
      </c>
      <c r="J997" s="121">
        <v>44619</v>
      </c>
      <c r="K997" s="109" t="s">
        <v>304</v>
      </c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</row>
    <row r="998" spans="1:47" ht="15.75" customHeight="1">
      <c r="A998" s="60">
        <v>44769</v>
      </c>
      <c r="B998" s="122" t="s">
        <v>1300</v>
      </c>
      <c r="C998" s="123" t="s">
        <v>14</v>
      </c>
      <c r="D998" s="110" t="s">
        <v>861</v>
      </c>
      <c r="E998" s="124">
        <v>55000</v>
      </c>
      <c r="F998" s="110" t="s">
        <v>81</v>
      </c>
      <c r="G998" s="112" t="s">
        <v>11</v>
      </c>
      <c r="H998" s="112" t="s">
        <v>17</v>
      </c>
      <c r="I998" s="112" t="s">
        <v>26</v>
      </c>
      <c r="J998" s="112">
        <v>44613</v>
      </c>
      <c r="K998" s="112" t="s">
        <v>345</v>
      </c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</row>
    <row r="999" spans="1:47" ht="15.75" customHeight="1">
      <c r="A999" s="60">
        <v>44769</v>
      </c>
      <c r="B999" s="122" t="s">
        <v>1301</v>
      </c>
      <c r="C999" s="123" t="s">
        <v>14</v>
      </c>
      <c r="D999" s="110" t="s">
        <v>861</v>
      </c>
      <c r="E999" s="124">
        <v>10000</v>
      </c>
      <c r="F999" s="110" t="s">
        <v>1302</v>
      </c>
      <c r="G999" s="112" t="s">
        <v>11</v>
      </c>
      <c r="H999" s="112" t="s">
        <v>17</v>
      </c>
      <c r="I999" s="112" t="s">
        <v>35</v>
      </c>
      <c r="J999" s="112">
        <v>44824</v>
      </c>
      <c r="K999" s="112" t="s">
        <v>301</v>
      </c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</row>
    <row r="1000" spans="1:47" ht="15.75" customHeight="1">
      <c r="A1000" s="81">
        <v>44774</v>
      </c>
      <c r="B1000" s="118" t="s">
        <v>932</v>
      </c>
      <c r="C1000" s="109" t="s">
        <v>14</v>
      </c>
      <c r="D1000" s="119" t="s">
        <v>861</v>
      </c>
      <c r="E1000" s="120">
        <v>25000</v>
      </c>
      <c r="F1000" s="119" t="s">
        <v>415</v>
      </c>
      <c r="G1000" s="119" t="s">
        <v>24</v>
      </c>
      <c r="H1000" s="119" t="s">
        <v>12</v>
      </c>
      <c r="I1000" s="119" t="s">
        <v>316</v>
      </c>
      <c r="J1000" s="121">
        <v>44263</v>
      </c>
      <c r="K1000" s="109" t="s">
        <v>298</v>
      </c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</row>
    <row r="1001" spans="1:47" ht="15.75" customHeight="1">
      <c r="A1001" s="81">
        <v>44774</v>
      </c>
      <c r="B1001" s="118" t="s">
        <v>1303</v>
      </c>
      <c r="C1001" s="109" t="s">
        <v>14</v>
      </c>
      <c r="D1001" s="119" t="s">
        <v>237</v>
      </c>
      <c r="E1001" s="120">
        <v>120608.02</v>
      </c>
      <c r="F1001" s="119" t="s">
        <v>1304</v>
      </c>
      <c r="G1001" s="119" t="s">
        <v>11</v>
      </c>
      <c r="H1001" s="119" t="s">
        <v>12</v>
      </c>
      <c r="I1001" s="119" t="s">
        <v>408</v>
      </c>
      <c r="J1001" s="121">
        <v>44623</v>
      </c>
      <c r="K1001" s="109" t="s">
        <v>301</v>
      </c>
      <c r="L1001" s="55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  <c r="AJ1001" s="55"/>
      <c r="AK1001" s="55"/>
      <c r="AL1001" s="55"/>
      <c r="AM1001" s="55"/>
      <c r="AN1001" s="55"/>
      <c r="AO1001" s="55"/>
      <c r="AP1001" s="55"/>
      <c r="AQ1001" s="55"/>
      <c r="AR1001" s="55"/>
      <c r="AS1001" s="55"/>
      <c r="AT1001" s="55"/>
      <c r="AU1001" s="55"/>
    </row>
    <row r="1002" spans="1:47" ht="15.75" customHeight="1">
      <c r="A1002" s="81">
        <v>44775</v>
      </c>
      <c r="B1002" s="118" t="s">
        <v>1305</v>
      </c>
      <c r="C1002" s="109" t="s">
        <v>14</v>
      </c>
      <c r="D1002" s="119" t="s">
        <v>237</v>
      </c>
      <c r="E1002" s="120">
        <v>181532.44</v>
      </c>
      <c r="F1002" s="119" t="s">
        <v>475</v>
      </c>
      <c r="G1002" s="119" t="s">
        <v>11</v>
      </c>
      <c r="H1002" s="119" t="s">
        <v>17</v>
      </c>
      <c r="I1002" s="119" t="s">
        <v>476</v>
      </c>
      <c r="J1002" s="121">
        <v>44376</v>
      </c>
      <c r="K1002" s="109" t="s">
        <v>304</v>
      </c>
      <c r="L1002" s="55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  <c r="AJ1002" s="55"/>
      <c r="AK1002" s="55"/>
      <c r="AL1002" s="55"/>
      <c r="AM1002" s="55"/>
      <c r="AN1002" s="55"/>
      <c r="AO1002" s="55"/>
      <c r="AP1002" s="55"/>
      <c r="AQ1002" s="55"/>
      <c r="AR1002" s="55"/>
      <c r="AS1002" s="55"/>
      <c r="AT1002" s="55"/>
      <c r="AU1002" s="55"/>
    </row>
    <row r="1003" spans="1:47" ht="15.75" customHeight="1">
      <c r="A1003" s="81">
        <v>44776</v>
      </c>
      <c r="B1003" s="118" t="s">
        <v>1238</v>
      </c>
      <c r="C1003" s="109" t="s">
        <v>14</v>
      </c>
      <c r="D1003" s="119" t="s">
        <v>861</v>
      </c>
      <c r="E1003" s="120">
        <v>200000</v>
      </c>
      <c r="F1003" s="119" t="s">
        <v>1239</v>
      </c>
      <c r="G1003" s="119" t="s">
        <v>11</v>
      </c>
      <c r="H1003" s="119" t="s">
        <v>17</v>
      </c>
      <c r="I1003" s="119" t="s">
        <v>847</v>
      </c>
      <c r="J1003" s="121">
        <v>44454</v>
      </c>
      <c r="K1003" s="109" t="s">
        <v>298</v>
      </c>
      <c r="L1003" s="55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  <c r="AJ1003" s="55"/>
      <c r="AK1003" s="55"/>
      <c r="AL1003" s="55"/>
      <c r="AM1003" s="55"/>
      <c r="AN1003" s="55"/>
      <c r="AO1003" s="55"/>
      <c r="AP1003" s="55"/>
      <c r="AQ1003" s="55"/>
      <c r="AR1003" s="55"/>
      <c r="AS1003" s="55"/>
      <c r="AT1003" s="55"/>
      <c r="AU1003" s="55"/>
    </row>
    <row r="1004" spans="1:47" ht="15.75" customHeight="1">
      <c r="A1004" s="81">
        <v>44777</v>
      </c>
      <c r="B1004" s="118" t="s">
        <v>1306</v>
      </c>
      <c r="C1004" s="109" t="s">
        <v>14</v>
      </c>
      <c r="D1004" s="119" t="s">
        <v>861</v>
      </c>
      <c r="E1004" s="120">
        <v>25000</v>
      </c>
      <c r="F1004" s="119" t="s">
        <v>498</v>
      </c>
      <c r="G1004" s="119" t="s">
        <v>11</v>
      </c>
      <c r="H1004" s="119" t="s">
        <v>12</v>
      </c>
      <c r="I1004" s="119" t="s">
        <v>18</v>
      </c>
      <c r="J1004" s="121">
        <v>44385</v>
      </c>
      <c r="K1004" s="109" t="s">
        <v>309</v>
      </c>
      <c r="L1004" s="55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  <c r="AH1004" s="55"/>
      <c r="AI1004" s="55"/>
      <c r="AJ1004" s="55"/>
      <c r="AK1004" s="55"/>
      <c r="AL1004" s="55"/>
      <c r="AM1004" s="55"/>
      <c r="AN1004" s="55"/>
      <c r="AO1004" s="55"/>
      <c r="AP1004" s="55"/>
      <c r="AQ1004" s="55"/>
      <c r="AR1004" s="55"/>
      <c r="AS1004" s="55"/>
      <c r="AT1004" s="55"/>
      <c r="AU1004" s="55"/>
    </row>
    <row r="1005" spans="1:47" ht="15.75" customHeight="1">
      <c r="A1005" s="81">
        <v>44777</v>
      </c>
      <c r="B1005" s="118" t="s">
        <v>1292</v>
      </c>
      <c r="C1005" s="109" t="s">
        <v>14</v>
      </c>
      <c r="D1005" s="119" t="s">
        <v>237</v>
      </c>
      <c r="E1005" s="120">
        <v>1473.07</v>
      </c>
      <c r="F1005" s="119" t="s">
        <v>403</v>
      </c>
      <c r="G1005" s="119" t="s">
        <v>11</v>
      </c>
      <c r="H1005" s="119" t="s">
        <v>17</v>
      </c>
      <c r="I1005" s="119" t="s">
        <v>35</v>
      </c>
      <c r="J1005" s="121">
        <v>44251</v>
      </c>
      <c r="K1005" s="109" t="s">
        <v>304</v>
      </c>
      <c r="L1005" s="55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  <c r="AH1005" s="55"/>
      <c r="AI1005" s="55"/>
      <c r="AJ1005" s="55"/>
      <c r="AK1005" s="55"/>
      <c r="AL1005" s="55"/>
      <c r="AM1005" s="55"/>
      <c r="AN1005" s="55"/>
      <c r="AO1005" s="55"/>
      <c r="AP1005" s="55"/>
      <c r="AQ1005" s="55"/>
      <c r="AR1005" s="55"/>
      <c r="AS1005" s="55"/>
      <c r="AT1005" s="55"/>
      <c r="AU1005" s="55"/>
    </row>
    <row r="1006" spans="1:47" ht="15.75" customHeight="1">
      <c r="A1006" s="81">
        <v>44777</v>
      </c>
      <c r="B1006" s="118" t="s">
        <v>1248</v>
      </c>
      <c r="C1006" s="109" t="s">
        <v>150</v>
      </c>
      <c r="D1006" s="119" t="s">
        <v>237</v>
      </c>
      <c r="E1006" s="120">
        <v>74385.52</v>
      </c>
      <c r="F1006" s="119" t="s">
        <v>238</v>
      </c>
      <c r="G1006" s="119" t="s">
        <v>11</v>
      </c>
      <c r="H1006" s="119" t="s">
        <v>9</v>
      </c>
      <c r="I1006" s="119" t="s">
        <v>98</v>
      </c>
      <c r="J1006" s="121">
        <v>44568</v>
      </c>
      <c r="K1006" s="109" t="s">
        <v>301</v>
      </c>
      <c r="L1006" s="55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  <c r="AH1006" s="55"/>
      <c r="AI1006" s="55"/>
      <c r="AJ1006" s="55"/>
      <c r="AK1006" s="55"/>
      <c r="AL1006" s="55"/>
      <c r="AM1006" s="55"/>
      <c r="AN1006" s="55"/>
      <c r="AO1006" s="55"/>
      <c r="AP1006" s="55"/>
      <c r="AQ1006" s="55"/>
      <c r="AR1006" s="55"/>
      <c r="AS1006" s="55"/>
      <c r="AT1006" s="55"/>
      <c r="AU1006" s="55"/>
    </row>
    <row r="1007" spans="1:47" ht="15.75" customHeight="1">
      <c r="A1007" s="81">
        <v>44781</v>
      </c>
      <c r="B1007" s="118" t="s">
        <v>1307</v>
      </c>
      <c r="C1007" s="109" t="s">
        <v>14</v>
      </c>
      <c r="D1007" s="119" t="s">
        <v>861</v>
      </c>
      <c r="E1007" s="120">
        <v>7000</v>
      </c>
      <c r="F1007" s="119" t="s">
        <v>1308</v>
      </c>
      <c r="G1007" s="119" t="s">
        <v>11</v>
      </c>
      <c r="H1007" s="119" t="s">
        <v>17</v>
      </c>
      <c r="I1007" s="119" t="s">
        <v>26</v>
      </c>
      <c r="J1007" s="121">
        <v>44673</v>
      </c>
      <c r="K1007" s="109" t="s">
        <v>302</v>
      </c>
      <c r="L1007" s="55"/>
      <c r="M1007" s="55"/>
      <c r="N1007" s="55"/>
      <c r="O1007" s="55"/>
      <c r="P1007" s="55"/>
      <c r="Q1007" s="55"/>
      <c r="R1007" s="55"/>
      <c r="S1007" s="55"/>
      <c r="T1007" s="55"/>
      <c r="U1007" s="55"/>
      <c r="V1007" s="55"/>
      <c r="W1007" s="55"/>
      <c r="X1007" s="55"/>
      <c r="Y1007" s="55"/>
      <c r="Z1007" s="55"/>
      <c r="AA1007" s="55"/>
      <c r="AB1007" s="55"/>
      <c r="AC1007" s="55"/>
      <c r="AD1007" s="55"/>
      <c r="AE1007" s="55"/>
      <c r="AF1007" s="55"/>
      <c r="AG1007" s="55"/>
      <c r="AH1007" s="55"/>
      <c r="AI1007" s="55"/>
      <c r="AJ1007" s="55"/>
      <c r="AK1007" s="55"/>
      <c r="AL1007" s="55"/>
      <c r="AM1007" s="55"/>
      <c r="AN1007" s="55"/>
      <c r="AO1007" s="55"/>
      <c r="AP1007" s="55"/>
      <c r="AQ1007" s="55"/>
      <c r="AR1007" s="55"/>
      <c r="AS1007" s="55"/>
      <c r="AT1007" s="55"/>
      <c r="AU1007" s="55"/>
    </row>
    <row r="1008" spans="1:47" ht="15.75" customHeight="1">
      <c r="A1008" s="81">
        <v>44781</v>
      </c>
      <c r="B1008" s="118" t="s">
        <v>1309</v>
      </c>
      <c r="C1008" s="109" t="s">
        <v>14</v>
      </c>
      <c r="D1008" s="119" t="s">
        <v>237</v>
      </c>
      <c r="E1008" s="120">
        <v>157156.82</v>
      </c>
      <c r="F1008" s="119" t="s">
        <v>1310</v>
      </c>
      <c r="G1008" s="119" t="s">
        <v>11</v>
      </c>
      <c r="H1008" s="119" t="s">
        <v>12</v>
      </c>
      <c r="I1008" s="119" t="s">
        <v>56</v>
      </c>
      <c r="J1008" s="121">
        <v>44277</v>
      </c>
      <c r="K1008" s="109" t="s">
        <v>302</v>
      </c>
      <c r="L1008" s="55"/>
      <c r="M1008" s="55"/>
      <c r="N1008" s="55"/>
      <c r="O1008" s="55"/>
      <c r="P1008" s="55"/>
      <c r="Q1008" s="55"/>
      <c r="R1008" s="55"/>
      <c r="S1008" s="55"/>
      <c r="T1008" s="55"/>
      <c r="U1008" s="55"/>
      <c r="V1008" s="55"/>
      <c r="W1008" s="55"/>
      <c r="X1008" s="55"/>
      <c r="Y1008" s="55"/>
      <c r="Z1008" s="55"/>
      <c r="AA1008" s="55"/>
      <c r="AB1008" s="55"/>
      <c r="AC1008" s="55"/>
      <c r="AD1008" s="55"/>
      <c r="AE1008" s="55"/>
      <c r="AF1008" s="55"/>
      <c r="AG1008" s="55"/>
      <c r="AH1008" s="55"/>
      <c r="AI1008" s="55"/>
      <c r="AJ1008" s="55"/>
      <c r="AK1008" s="55"/>
      <c r="AL1008" s="55"/>
      <c r="AM1008" s="55"/>
      <c r="AN1008" s="55"/>
      <c r="AO1008" s="55"/>
      <c r="AP1008" s="55"/>
      <c r="AQ1008" s="55"/>
      <c r="AR1008" s="55"/>
      <c r="AS1008" s="55"/>
      <c r="AT1008" s="55"/>
      <c r="AU1008" s="55"/>
    </row>
    <row r="1009" spans="1:47" ht="15.75" customHeight="1">
      <c r="A1009" s="81">
        <v>44781</v>
      </c>
      <c r="B1009" s="118" t="s">
        <v>1311</v>
      </c>
      <c r="C1009" s="109" t="s">
        <v>150</v>
      </c>
      <c r="D1009" s="119" t="s">
        <v>237</v>
      </c>
      <c r="E1009" s="120">
        <v>101893.24</v>
      </c>
      <c r="F1009" s="119" t="s">
        <v>191</v>
      </c>
      <c r="G1009" s="119" t="s">
        <v>11</v>
      </c>
      <c r="H1009" s="119" t="s">
        <v>9</v>
      </c>
      <c r="I1009" s="119" t="s">
        <v>10</v>
      </c>
      <c r="J1009" s="121">
        <v>44365</v>
      </c>
      <c r="K1009" s="109" t="s">
        <v>298</v>
      </c>
      <c r="L1009" s="55"/>
      <c r="M1009" s="55"/>
      <c r="N1009" s="55"/>
      <c r="O1009" s="55"/>
      <c r="P1009" s="55"/>
      <c r="Q1009" s="55"/>
      <c r="R1009" s="55"/>
      <c r="S1009" s="55"/>
      <c r="T1009" s="55"/>
      <c r="U1009" s="55"/>
      <c r="V1009" s="55"/>
      <c r="W1009" s="55"/>
      <c r="X1009" s="55"/>
      <c r="Y1009" s="55"/>
      <c r="Z1009" s="55"/>
      <c r="AA1009" s="55"/>
      <c r="AB1009" s="55"/>
      <c r="AC1009" s="55"/>
      <c r="AD1009" s="55"/>
      <c r="AE1009" s="55"/>
      <c r="AF1009" s="55"/>
      <c r="AG1009" s="55"/>
      <c r="AH1009" s="55"/>
      <c r="AI1009" s="55"/>
      <c r="AJ1009" s="55"/>
      <c r="AK1009" s="55"/>
      <c r="AL1009" s="55"/>
      <c r="AM1009" s="55"/>
      <c r="AN1009" s="55"/>
      <c r="AO1009" s="55"/>
      <c r="AP1009" s="55"/>
      <c r="AQ1009" s="55"/>
      <c r="AR1009" s="55"/>
      <c r="AS1009" s="55"/>
      <c r="AT1009" s="55"/>
      <c r="AU1009" s="55"/>
    </row>
    <row r="1010" spans="1:47" ht="15.75" customHeight="1">
      <c r="A1010" s="81">
        <v>44783</v>
      </c>
      <c r="B1010" s="118" t="s">
        <v>1152</v>
      </c>
      <c r="C1010" s="109" t="s">
        <v>14</v>
      </c>
      <c r="D1010" s="119" t="s">
        <v>861</v>
      </c>
      <c r="E1010" s="120">
        <v>5500</v>
      </c>
      <c r="F1010" s="119" t="s">
        <v>86</v>
      </c>
      <c r="G1010" s="119" t="s">
        <v>11</v>
      </c>
      <c r="H1010" s="119" t="s">
        <v>12</v>
      </c>
      <c r="I1010" s="119" t="s">
        <v>125</v>
      </c>
      <c r="J1010" s="121">
        <v>44293</v>
      </c>
      <c r="K1010" s="109" t="s">
        <v>295</v>
      </c>
      <c r="L1010" s="55"/>
      <c r="M1010" s="55"/>
      <c r="N1010" s="55"/>
      <c r="O1010" s="55"/>
      <c r="P1010" s="55"/>
      <c r="Q1010" s="55"/>
      <c r="R1010" s="55"/>
      <c r="S1010" s="55"/>
      <c r="T1010" s="55"/>
      <c r="U1010" s="55"/>
      <c r="V1010" s="55"/>
      <c r="W1010" s="55"/>
      <c r="X1010" s="55"/>
      <c r="Y1010" s="55"/>
      <c r="Z1010" s="55"/>
      <c r="AA1010" s="55"/>
      <c r="AB1010" s="55"/>
      <c r="AC1010" s="55"/>
      <c r="AD1010" s="55"/>
      <c r="AE1010" s="55"/>
      <c r="AF1010" s="55"/>
      <c r="AG1010" s="55"/>
      <c r="AH1010" s="55"/>
      <c r="AI1010" s="55"/>
      <c r="AJ1010" s="55"/>
      <c r="AK1010" s="55"/>
      <c r="AL1010" s="55"/>
      <c r="AM1010" s="55"/>
      <c r="AN1010" s="55"/>
      <c r="AO1010" s="55"/>
      <c r="AP1010" s="55"/>
      <c r="AQ1010" s="55"/>
      <c r="AR1010" s="55"/>
      <c r="AS1010" s="55"/>
      <c r="AT1010" s="55"/>
      <c r="AU1010" s="55"/>
    </row>
    <row r="1011" spans="1:47" ht="15.75" customHeight="1">
      <c r="A1011" s="81">
        <v>44783</v>
      </c>
      <c r="B1011" s="118" t="s">
        <v>1312</v>
      </c>
      <c r="C1011" s="109" t="s">
        <v>150</v>
      </c>
      <c r="D1011" s="119" t="s">
        <v>237</v>
      </c>
      <c r="E1011" s="120">
        <v>111338.29</v>
      </c>
      <c r="F1011" s="119" t="s">
        <v>234</v>
      </c>
      <c r="G1011" s="119" t="s">
        <v>11</v>
      </c>
      <c r="H1011" s="119" t="s">
        <v>9</v>
      </c>
      <c r="I1011" s="119" t="s">
        <v>29</v>
      </c>
      <c r="J1011" s="121">
        <v>44600</v>
      </c>
      <c r="K1011" s="109" t="s">
        <v>302</v>
      </c>
      <c r="L1011" s="55"/>
      <c r="M1011" s="55"/>
      <c r="N1011" s="55"/>
      <c r="O1011" s="55"/>
      <c r="P1011" s="55"/>
      <c r="Q1011" s="55"/>
      <c r="R1011" s="55"/>
      <c r="S1011" s="55"/>
      <c r="T1011" s="55"/>
      <c r="U1011" s="55"/>
      <c r="V1011" s="55"/>
      <c r="W1011" s="55"/>
      <c r="X1011" s="55"/>
      <c r="Y1011" s="55"/>
      <c r="Z1011" s="55"/>
      <c r="AA1011" s="55"/>
      <c r="AB1011" s="55"/>
      <c r="AC1011" s="55"/>
      <c r="AD1011" s="55"/>
      <c r="AE1011" s="55"/>
      <c r="AF1011" s="55"/>
      <c r="AG1011" s="55"/>
      <c r="AH1011" s="55"/>
      <c r="AI1011" s="55"/>
      <c r="AJ1011" s="55"/>
      <c r="AK1011" s="55"/>
      <c r="AL1011" s="55"/>
      <c r="AM1011" s="55"/>
      <c r="AN1011" s="55"/>
      <c r="AO1011" s="55"/>
      <c r="AP1011" s="55"/>
      <c r="AQ1011" s="55"/>
      <c r="AR1011" s="55"/>
      <c r="AS1011" s="55"/>
      <c r="AT1011" s="55"/>
      <c r="AU1011" s="55"/>
    </row>
    <row r="1012" spans="1:47" ht="15.75" customHeight="1">
      <c r="A1012" s="81">
        <v>44784</v>
      </c>
      <c r="B1012" s="118" t="s">
        <v>1313</v>
      </c>
      <c r="C1012" s="109" t="s">
        <v>14</v>
      </c>
      <c r="D1012" s="119" t="s">
        <v>237</v>
      </c>
      <c r="E1012" s="120" t="s">
        <v>1314</v>
      </c>
      <c r="F1012" s="119" t="s">
        <v>428</v>
      </c>
      <c r="G1012" s="119" t="s">
        <v>24</v>
      </c>
      <c r="H1012" s="119" t="s">
        <v>12</v>
      </c>
      <c r="I1012" s="119" t="s">
        <v>429</v>
      </c>
      <c r="J1012" s="121">
        <v>44211</v>
      </c>
      <c r="K1012" s="109" t="s">
        <v>304</v>
      </c>
      <c r="L1012" s="55"/>
      <c r="M1012" s="55"/>
      <c r="N1012" s="55"/>
      <c r="O1012" s="55"/>
      <c r="P1012" s="55"/>
      <c r="Q1012" s="55"/>
      <c r="R1012" s="55"/>
      <c r="S1012" s="55"/>
      <c r="T1012" s="55"/>
      <c r="U1012" s="55"/>
      <c r="V1012" s="55"/>
      <c r="W1012" s="55"/>
      <c r="X1012" s="55"/>
      <c r="Y1012" s="55"/>
      <c r="Z1012" s="55"/>
      <c r="AA1012" s="55"/>
      <c r="AB1012" s="55"/>
      <c r="AC1012" s="55"/>
      <c r="AD1012" s="55"/>
      <c r="AE1012" s="55"/>
      <c r="AF1012" s="55"/>
      <c r="AG1012" s="55"/>
      <c r="AH1012" s="55"/>
      <c r="AI1012" s="55"/>
      <c r="AJ1012" s="55"/>
      <c r="AK1012" s="55"/>
      <c r="AL1012" s="55"/>
      <c r="AM1012" s="55"/>
      <c r="AN1012" s="55"/>
      <c r="AO1012" s="55"/>
      <c r="AP1012" s="55"/>
      <c r="AQ1012" s="55"/>
      <c r="AR1012" s="55"/>
      <c r="AS1012" s="55"/>
      <c r="AT1012" s="55"/>
      <c r="AU1012" s="55"/>
    </row>
    <row r="1013" spans="1:47" ht="15.75" customHeight="1">
      <c r="A1013" s="81">
        <v>44784</v>
      </c>
      <c r="B1013" s="118" t="s">
        <v>1183</v>
      </c>
      <c r="C1013" s="109" t="s">
        <v>14</v>
      </c>
      <c r="D1013" s="119" t="s">
        <v>861</v>
      </c>
      <c r="E1013" s="120">
        <v>30000</v>
      </c>
      <c r="F1013" s="119" t="s">
        <v>69</v>
      </c>
      <c r="G1013" s="119" t="s">
        <v>11</v>
      </c>
      <c r="H1013" s="119" t="s">
        <v>12</v>
      </c>
      <c r="I1013" s="119" t="s">
        <v>512</v>
      </c>
      <c r="J1013" s="121">
        <v>44594</v>
      </c>
      <c r="K1013" s="109" t="s">
        <v>301</v>
      </c>
      <c r="L1013" s="55"/>
      <c r="M1013" s="55"/>
      <c r="N1013" s="55"/>
      <c r="O1013" s="55"/>
      <c r="P1013" s="55"/>
      <c r="Q1013" s="55"/>
      <c r="R1013" s="55"/>
      <c r="S1013" s="55"/>
      <c r="T1013" s="55"/>
      <c r="U1013" s="55"/>
      <c r="V1013" s="55"/>
      <c r="W1013" s="55"/>
      <c r="X1013" s="55"/>
      <c r="Y1013" s="55"/>
      <c r="Z1013" s="55"/>
      <c r="AA1013" s="55"/>
      <c r="AB1013" s="55"/>
      <c r="AC1013" s="55"/>
      <c r="AD1013" s="55"/>
      <c r="AE1013" s="55"/>
      <c r="AF1013" s="55"/>
      <c r="AG1013" s="55"/>
      <c r="AH1013" s="55"/>
      <c r="AI1013" s="55"/>
      <c r="AJ1013" s="55"/>
      <c r="AK1013" s="55"/>
      <c r="AL1013" s="55"/>
      <c r="AM1013" s="55"/>
      <c r="AN1013" s="55"/>
      <c r="AO1013" s="55"/>
      <c r="AP1013" s="55"/>
      <c r="AQ1013" s="55"/>
      <c r="AR1013" s="55"/>
      <c r="AS1013" s="55"/>
      <c r="AT1013" s="55"/>
      <c r="AU1013" s="55"/>
    </row>
    <row r="1014" spans="1:47" ht="15.75" customHeight="1">
      <c r="A1014" s="60">
        <v>44784</v>
      </c>
      <c r="B1014" s="89" t="s">
        <v>1238</v>
      </c>
      <c r="C1014" s="62" t="s">
        <v>14</v>
      </c>
      <c r="D1014" s="46" t="s">
        <v>861</v>
      </c>
      <c r="E1014" s="70">
        <v>125000</v>
      </c>
      <c r="F1014" s="46" t="s">
        <v>1239</v>
      </c>
      <c r="G1014" s="56" t="s">
        <v>11</v>
      </c>
      <c r="H1014" s="56" t="s">
        <v>17</v>
      </c>
      <c r="I1014" s="56" t="s">
        <v>847</v>
      </c>
      <c r="J1014" s="56">
        <v>44454</v>
      </c>
      <c r="K1014" s="56" t="s">
        <v>298</v>
      </c>
      <c r="L1014" s="55"/>
      <c r="M1014" s="55"/>
      <c r="N1014" s="55"/>
      <c r="O1014" s="55"/>
      <c r="P1014" s="55"/>
      <c r="Q1014" s="55"/>
      <c r="R1014" s="55"/>
      <c r="S1014" s="55"/>
      <c r="T1014" s="55"/>
      <c r="U1014" s="55"/>
      <c r="V1014" s="55"/>
      <c r="W1014" s="55"/>
      <c r="X1014" s="55"/>
      <c r="Y1014" s="55"/>
      <c r="Z1014" s="55"/>
      <c r="AA1014" s="55"/>
      <c r="AB1014" s="55"/>
      <c r="AC1014" s="55"/>
      <c r="AD1014" s="55"/>
      <c r="AE1014" s="55"/>
      <c r="AF1014" s="55"/>
      <c r="AG1014" s="55"/>
      <c r="AH1014" s="55"/>
      <c r="AI1014" s="55"/>
      <c r="AJ1014" s="55"/>
      <c r="AK1014" s="55"/>
      <c r="AL1014" s="55"/>
      <c r="AM1014" s="55"/>
      <c r="AN1014" s="55"/>
      <c r="AO1014" s="55"/>
      <c r="AP1014" s="55"/>
      <c r="AQ1014" s="55"/>
      <c r="AR1014" s="55"/>
      <c r="AS1014" s="55"/>
      <c r="AT1014" s="55"/>
      <c r="AU1014" s="55"/>
    </row>
    <row r="1015" spans="1:47" ht="15.75" customHeight="1">
      <c r="A1015" s="60">
        <v>44786</v>
      </c>
      <c r="B1015" s="89" t="s">
        <v>1315</v>
      </c>
      <c r="C1015" s="62" t="s">
        <v>14</v>
      </c>
      <c r="D1015" s="46" t="s">
        <v>237</v>
      </c>
      <c r="E1015" s="70">
        <v>444418.17</v>
      </c>
      <c r="F1015" s="46" t="s">
        <v>526</v>
      </c>
      <c r="G1015" s="56" t="s">
        <v>11</v>
      </c>
      <c r="H1015" s="56" t="s">
        <v>17</v>
      </c>
      <c r="I1015" s="56" t="s">
        <v>369</v>
      </c>
      <c r="J1015" s="56">
        <v>44421</v>
      </c>
      <c r="K1015" s="56" t="s">
        <v>301</v>
      </c>
      <c r="L1015" s="55"/>
      <c r="M1015" s="55"/>
      <c r="N1015" s="55"/>
      <c r="O1015" s="55"/>
      <c r="P1015" s="55"/>
      <c r="Q1015" s="55"/>
      <c r="R1015" s="55"/>
      <c r="S1015" s="55"/>
      <c r="T1015" s="55"/>
      <c r="U1015" s="55"/>
      <c r="V1015" s="55"/>
      <c r="W1015" s="55"/>
      <c r="X1015" s="55"/>
      <c r="Y1015" s="55"/>
      <c r="Z1015" s="55"/>
      <c r="AA1015" s="55"/>
      <c r="AB1015" s="55"/>
      <c r="AC1015" s="55"/>
      <c r="AD1015" s="55"/>
      <c r="AE1015" s="55"/>
      <c r="AF1015" s="55"/>
      <c r="AG1015" s="55"/>
      <c r="AH1015" s="55"/>
      <c r="AI1015" s="55"/>
      <c r="AJ1015" s="55"/>
      <c r="AK1015" s="55"/>
      <c r="AL1015" s="55"/>
      <c r="AM1015" s="55"/>
      <c r="AN1015" s="55"/>
      <c r="AO1015" s="55"/>
      <c r="AP1015" s="55"/>
      <c r="AQ1015" s="55"/>
      <c r="AR1015" s="55"/>
      <c r="AS1015" s="55"/>
      <c r="AT1015" s="55"/>
      <c r="AU1015" s="55"/>
    </row>
    <row r="1016" spans="1:47" ht="15.75" customHeight="1">
      <c r="A1016" s="81">
        <v>44788</v>
      </c>
      <c r="B1016" s="69" t="s">
        <v>1235</v>
      </c>
      <c r="C1016" s="12" t="s">
        <v>14</v>
      </c>
      <c r="D1016" s="82" t="s">
        <v>861</v>
      </c>
      <c r="E1016" s="83">
        <v>10000</v>
      </c>
      <c r="F1016" s="82" t="s">
        <v>1316</v>
      </c>
      <c r="G1016" s="82" t="s">
        <v>11</v>
      </c>
      <c r="H1016" s="82" t="s">
        <v>17</v>
      </c>
      <c r="I1016" s="82" t="s">
        <v>28</v>
      </c>
      <c r="J1016" s="81">
        <v>44645</v>
      </c>
      <c r="K1016" s="12" t="s">
        <v>301</v>
      </c>
      <c r="L1016" s="55"/>
      <c r="M1016" s="55"/>
      <c r="N1016" s="55"/>
      <c r="O1016" s="55"/>
      <c r="P1016" s="55"/>
      <c r="Q1016" s="55"/>
      <c r="R1016" s="55"/>
      <c r="S1016" s="55"/>
      <c r="T1016" s="55"/>
      <c r="U1016" s="55"/>
      <c r="V1016" s="55"/>
      <c r="W1016" s="55"/>
      <c r="X1016" s="55"/>
      <c r="Y1016" s="55"/>
      <c r="Z1016" s="55"/>
      <c r="AA1016" s="55"/>
      <c r="AB1016" s="55"/>
      <c r="AC1016" s="55"/>
      <c r="AD1016" s="55"/>
      <c r="AE1016" s="55"/>
      <c r="AF1016" s="55"/>
      <c r="AG1016" s="55"/>
      <c r="AH1016" s="55"/>
      <c r="AI1016" s="55"/>
      <c r="AJ1016" s="55"/>
      <c r="AK1016" s="55"/>
      <c r="AL1016" s="55"/>
      <c r="AM1016" s="55"/>
      <c r="AN1016" s="55"/>
      <c r="AO1016" s="55"/>
      <c r="AP1016" s="55"/>
      <c r="AQ1016" s="55"/>
      <c r="AR1016" s="55"/>
      <c r="AS1016" s="55"/>
      <c r="AT1016" s="55"/>
      <c r="AU1016" s="55"/>
    </row>
    <row r="1017" spans="1:47" ht="15.75" customHeight="1">
      <c r="A1017" s="81">
        <v>44788</v>
      </c>
      <c r="B1017" s="69" t="s">
        <v>1317</v>
      </c>
      <c r="C1017" s="12" t="s">
        <v>14</v>
      </c>
      <c r="D1017" s="82" t="s">
        <v>237</v>
      </c>
      <c r="E1017" s="83">
        <v>608381.09</v>
      </c>
      <c r="F1017" s="82" t="s">
        <v>481</v>
      </c>
      <c r="G1017" s="82" t="s">
        <v>11</v>
      </c>
      <c r="H1017" s="82" t="s">
        <v>12</v>
      </c>
      <c r="I1017" s="82" t="s">
        <v>138</v>
      </c>
      <c r="J1017" s="81">
        <v>44341</v>
      </c>
      <c r="K1017" s="12" t="s">
        <v>482</v>
      </c>
      <c r="L1017" s="55"/>
      <c r="M1017" s="55"/>
      <c r="N1017" s="55"/>
      <c r="O1017" s="55"/>
      <c r="P1017" s="55"/>
      <c r="Q1017" s="55"/>
      <c r="R1017" s="55"/>
      <c r="S1017" s="55"/>
      <c r="T1017" s="55"/>
      <c r="U1017" s="55"/>
      <c r="V1017" s="55"/>
      <c r="W1017" s="55"/>
      <c r="X1017" s="55"/>
      <c r="Y1017" s="55"/>
      <c r="Z1017" s="55"/>
      <c r="AA1017" s="55"/>
      <c r="AB1017" s="55"/>
      <c r="AC1017" s="55"/>
      <c r="AD1017" s="55"/>
      <c r="AE1017" s="55"/>
      <c r="AF1017" s="55"/>
      <c r="AG1017" s="55"/>
      <c r="AH1017" s="55"/>
      <c r="AI1017" s="55"/>
      <c r="AJ1017" s="55"/>
      <c r="AK1017" s="55"/>
      <c r="AL1017" s="55"/>
      <c r="AM1017" s="55"/>
      <c r="AN1017" s="55"/>
      <c r="AO1017" s="55"/>
      <c r="AP1017" s="55"/>
      <c r="AQ1017" s="55"/>
      <c r="AR1017" s="55"/>
      <c r="AS1017" s="55"/>
      <c r="AT1017" s="55"/>
      <c r="AU1017" s="55"/>
    </row>
    <row r="1018" spans="1:47" ht="15.75" customHeight="1">
      <c r="A1018" s="81">
        <v>44789</v>
      </c>
      <c r="B1018" s="69" t="s">
        <v>1273</v>
      </c>
      <c r="C1018" s="12" t="s">
        <v>14</v>
      </c>
      <c r="D1018" s="82" t="s">
        <v>861</v>
      </c>
      <c r="E1018" s="83">
        <v>5000</v>
      </c>
      <c r="F1018" s="82" t="s">
        <v>65</v>
      </c>
      <c r="G1018" s="82" t="s">
        <v>24</v>
      </c>
      <c r="H1018" s="82" t="s">
        <v>12</v>
      </c>
      <c r="I1018" s="82" t="s">
        <v>128</v>
      </c>
      <c r="J1018" s="81">
        <v>44138</v>
      </c>
      <c r="K1018" s="12" t="s">
        <v>302</v>
      </c>
      <c r="L1018" s="55"/>
      <c r="M1018" s="55"/>
      <c r="N1018" s="55"/>
      <c r="O1018" s="55"/>
      <c r="P1018" s="55"/>
      <c r="Q1018" s="55"/>
      <c r="R1018" s="55"/>
      <c r="S1018" s="55"/>
      <c r="T1018" s="55"/>
      <c r="U1018" s="55"/>
      <c r="V1018" s="55"/>
      <c r="W1018" s="55"/>
      <c r="X1018" s="55"/>
      <c r="Y1018" s="55"/>
      <c r="Z1018" s="55"/>
      <c r="AA1018" s="55"/>
      <c r="AB1018" s="55"/>
      <c r="AC1018" s="55"/>
      <c r="AD1018" s="55"/>
      <c r="AE1018" s="55"/>
      <c r="AF1018" s="55"/>
      <c r="AG1018" s="55"/>
      <c r="AH1018" s="55"/>
      <c r="AI1018" s="55"/>
      <c r="AJ1018" s="55"/>
      <c r="AK1018" s="55"/>
      <c r="AL1018" s="55"/>
      <c r="AM1018" s="55"/>
      <c r="AN1018" s="55"/>
      <c r="AO1018" s="55"/>
      <c r="AP1018" s="55"/>
      <c r="AQ1018" s="55"/>
      <c r="AR1018" s="55"/>
      <c r="AS1018" s="55"/>
      <c r="AT1018" s="55"/>
      <c r="AU1018" s="55"/>
    </row>
    <row r="1019" spans="1:47" ht="15.75" customHeight="1">
      <c r="A1019" s="81">
        <v>44790</v>
      </c>
      <c r="B1019" s="69" t="s">
        <v>1235</v>
      </c>
      <c r="C1019" s="12" t="s">
        <v>14</v>
      </c>
      <c r="D1019" s="82" t="s">
        <v>861</v>
      </c>
      <c r="E1019" s="83">
        <v>5000</v>
      </c>
      <c r="F1019" s="82" t="s">
        <v>1316</v>
      </c>
      <c r="G1019" s="82" t="s">
        <v>11</v>
      </c>
      <c r="H1019" s="82" t="s">
        <v>17</v>
      </c>
      <c r="I1019" s="82" t="s">
        <v>28</v>
      </c>
      <c r="J1019" s="81">
        <v>44645</v>
      </c>
      <c r="K1019" s="12" t="s">
        <v>301</v>
      </c>
      <c r="L1019" s="55"/>
      <c r="M1019" s="55"/>
      <c r="N1019" s="55"/>
      <c r="O1019" s="55"/>
      <c r="P1019" s="55"/>
      <c r="Q1019" s="55"/>
      <c r="R1019" s="55"/>
      <c r="S1019" s="55"/>
      <c r="T1019" s="55"/>
      <c r="U1019" s="55"/>
      <c r="V1019" s="55"/>
      <c r="W1019" s="55"/>
      <c r="X1019" s="55"/>
      <c r="Y1019" s="55"/>
      <c r="Z1019" s="55"/>
      <c r="AA1019" s="55"/>
      <c r="AB1019" s="55"/>
      <c r="AC1019" s="55"/>
      <c r="AD1019" s="55"/>
      <c r="AE1019" s="55"/>
      <c r="AF1019" s="55"/>
      <c r="AG1019" s="55"/>
      <c r="AH1019" s="55"/>
      <c r="AI1019" s="55"/>
      <c r="AJ1019" s="55"/>
      <c r="AK1019" s="55"/>
      <c r="AL1019" s="55"/>
      <c r="AM1019" s="55"/>
      <c r="AN1019" s="55"/>
      <c r="AO1019" s="55"/>
      <c r="AP1019" s="55"/>
      <c r="AQ1019" s="55"/>
      <c r="AR1019" s="55"/>
      <c r="AS1019" s="55"/>
      <c r="AT1019" s="55"/>
      <c r="AU1019" s="55"/>
    </row>
    <row r="1020" spans="1:47" ht="15.75" customHeight="1">
      <c r="A1020" s="81">
        <v>44791</v>
      </c>
      <c r="B1020" s="69" t="s">
        <v>1172</v>
      </c>
      <c r="C1020" s="12" t="s">
        <v>14</v>
      </c>
      <c r="D1020" s="82" t="s">
        <v>861</v>
      </c>
      <c r="E1020" s="83">
        <v>25000</v>
      </c>
      <c r="F1020" s="82" t="s">
        <v>333</v>
      </c>
      <c r="G1020" s="82" t="s">
        <v>11</v>
      </c>
      <c r="H1020" s="82" t="s">
        <v>12</v>
      </c>
      <c r="I1020" s="82" t="s">
        <v>334</v>
      </c>
      <c r="J1020" s="81">
        <v>44061</v>
      </c>
      <c r="K1020" s="12" t="s">
        <v>298</v>
      </c>
      <c r="L1020" s="55"/>
      <c r="M1020" s="55"/>
      <c r="N1020" s="55"/>
      <c r="O1020" s="55"/>
      <c r="P1020" s="55"/>
      <c r="Q1020" s="55"/>
      <c r="R1020" s="55"/>
      <c r="S1020" s="55"/>
      <c r="T1020" s="55"/>
      <c r="U1020" s="55"/>
      <c r="V1020" s="55"/>
      <c r="W1020" s="55"/>
      <c r="X1020" s="55"/>
      <c r="Y1020" s="55"/>
      <c r="Z1020" s="55"/>
      <c r="AA1020" s="55"/>
      <c r="AB1020" s="55"/>
      <c r="AC1020" s="55"/>
      <c r="AD1020" s="55"/>
      <c r="AE1020" s="55"/>
      <c r="AF1020" s="55"/>
      <c r="AG1020" s="55"/>
      <c r="AH1020" s="55"/>
      <c r="AI1020" s="55"/>
      <c r="AJ1020" s="55"/>
      <c r="AK1020" s="55"/>
      <c r="AL1020" s="55"/>
      <c r="AM1020" s="55"/>
      <c r="AN1020" s="55"/>
      <c r="AO1020" s="55"/>
      <c r="AP1020" s="55"/>
      <c r="AQ1020" s="55"/>
      <c r="AR1020" s="55"/>
      <c r="AS1020" s="55"/>
      <c r="AT1020" s="55"/>
      <c r="AU1020" s="55"/>
    </row>
    <row r="1021" spans="1:47" ht="15.75" customHeight="1">
      <c r="A1021" s="60">
        <v>44796</v>
      </c>
      <c r="B1021" s="89" t="s">
        <v>1318</v>
      </c>
      <c r="C1021" s="62" t="s">
        <v>14</v>
      </c>
      <c r="D1021" s="46" t="s">
        <v>237</v>
      </c>
      <c r="E1021" s="70">
        <v>835364.29</v>
      </c>
      <c r="F1021" s="46" t="s">
        <v>366</v>
      </c>
      <c r="G1021" s="56" t="s">
        <v>11</v>
      </c>
      <c r="H1021" s="56" t="s">
        <v>17</v>
      </c>
      <c r="I1021" s="56" t="s">
        <v>26</v>
      </c>
      <c r="J1021" s="56">
        <v>44648</v>
      </c>
      <c r="K1021" s="56" t="s">
        <v>298</v>
      </c>
      <c r="L1021" s="55"/>
      <c r="M1021" s="55"/>
      <c r="N1021" s="55"/>
      <c r="O1021" s="55"/>
      <c r="P1021" s="55"/>
      <c r="Q1021" s="55"/>
      <c r="R1021" s="55"/>
      <c r="S1021" s="55"/>
      <c r="T1021" s="55"/>
      <c r="U1021" s="55"/>
      <c r="V1021" s="55"/>
      <c r="W1021" s="55"/>
      <c r="X1021" s="55"/>
      <c r="Y1021" s="55"/>
      <c r="Z1021" s="55"/>
      <c r="AA1021" s="55"/>
      <c r="AB1021" s="55"/>
      <c r="AC1021" s="55"/>
      <c r="AD1021" s="55"/>
      <c r="AE1021" s="55"/>
      <c r="AF1021" s="55"/>
      <c r="AG1021" s="55"/>
      <c r="AH1021" s="55"/>
      <c r="AI1021" s="55"/>
      <c r="AJ1021" s="55"/>
      <c r="AK1021" s="55"/>
      <c r="AL1021" s="55"/>
      <c r="AM1021" s="55"/>
      <c r="AN1021" s="55"/>
      <c r="AO1021" s="55"/>
      <c r="AP1021" s="55"/>
      <c r="AQ1021" s="55"/>
      <c r="AR1021" s="55"/>
      <c r="AS1021" s="55"/>
      <c r="AT1021" s="55"/>
      <c r="AU1021" s="55"/>
    </row>
    <row r="1022" spans="1:47" ht="15.75" customHeight="1">
      <c r="A1022" s="60">
        <v>44796</v>
      </c>
      <c r="B1022" s="89" t="s">
        <v>1319</v>
      </c>
      <c r="C1022" s="62" t="s">
        <v>14</v>
      </c>
      <c r="D1022" s="46" t="s">
        <v>237</v>
      </c>
      <c r="E1022" s="70">
        <v>1652454.72</v>
      </c>
      <c r="F1022" s="46" t="s">
        <v>366</v>
      </c>
      <c r="G1022" s="56" t="s">
        <v>11</v>
      </c>
      <c r="H1022" s="56" t="s">
        <v>17</v>
      </c>
      <c r="I1022" s="56" t="s">
        <v>26</v>
      </c>
      <c r="J1022" s="56">
        <v>44648</v>
      </c>
      <c r="K1022" s="56" t="s">
        <v>298</v>
      </c>
      <c r="L1022" s="55"/>
      <c r="M1022" s="55"/>
      <c r="N1022" s="55"/>
      <c r="O1022" s="55"/>
      <c r="P1022" s="55"/>
      <c r="Q1022" s="55"/>
      <c r="R1022" s="55"/>
      <c r="S1022" s="55"/>
      <c r="T1022" s="55"/>
      <c r="U1022" s="55"/>
      <c r="V1022" s="55"/>
      <c r="W1022" s="55"/>
      <c r="X1022" s="55"/>
      <c r="Y1022" s="55"/>
      <c r="Z1022" s="55"/>
      <c r="AA1022" s="55"/>
      <c r="AB1022" s="55"/>
      <c r="AC1022" s="55"/>
      <c r="AD1022" s="55"/>
      <c r="AE1022" s="55"/>
      <c r="AF1022" s="55"/>
      <c r="AG1022" s="55"/>
      <c r="AH1022" s="55"/>
      <c r="AI1022" s="55"/>
      <c r="AJ1022" s="55"/>
      <c r="AK1022" s="55"/>
      <c r="AL1022" s="55"/>
      <c r="AM1022" s="55"/>
      <c r="AN1022" s="55"/>
      <c r="AO1022" s="55"/>
      <c r="AP1022" s="55"/>
      <c r="AQ1022" s="55"/>
      <c r="AR1022" s="55"/>
      <c r="AS1022" s="55"/>
      <c r="AT1022" s="55"/>
      <c r="AU1022" s="55"/>
    </row>
    <row r="1023" spans="1:47" ht="15.75" customHeight="1">
      <c r="A1023" s="60">
        <v>44796</v>
      </c>
      <c r="B1023" s="89" t="s">
        <v>1320</v>
      </c>
      <c r="C1023" s="62" t="s">
        <v>14</v>
      </c>
      <c r="D1023" s="46" t="s">
        <v>861</v>
      </c>
      <c r="E1023" s="70">
        <v>10000</v>
      </c>
      <c r="F1023" s="46" t="s">
        <v>461</v>
      </c>
      <c r="G1023" s="56" t="s">
        <v>11</v>
      </c>
      <c r="H1023" s="56" t="s">
        <v>17</v>
      </c>
      <c r="I1023" s="56" t="s">
        <v>1321</v>
      </c>
      <c r="J1023" s="56"/>
      <c r="K1023" s="56"/>
      <c r="L1023" s="55"/>
      <c r="M1023" s="55"/>
      <c r="N1023" s="55"/>
      <c r="O1023" s="55"/>
      <c r="P1023" s="55"/>
      <c r="Q1023" s="55"/>
      <c r="R1023" s="55"/>
      <c r="S1023" s="55"/>
      <c r="T1023" s="55"/>
      <c r="U1023" s="55"/>
      <c r="V1023" s="55"/>
      <c r="W1023" s="55"/>
      <c r="X1023" s="55"/>
      <c r="Y1023" s="55"/>
      <c r="Z1023" s="55"/>
      <c r="AA1023" s="55"/>
      <c r="AB1023" s="55"/>
      <c r="AC1023" s="55"/>
      <c r="AD1023" s="55"/>
      <c r="AE1023" s="55"/>
      <c r="AF1023" s="55"/>
      <c r="AG1023" s="55"/>
      <c r="AH1023" s="55"/>
      <c r="AI1023" s="55"/>
      <c r="AJ1023" s="55"/>
      <c r="AK1023" s="55"/>
      <c r="AL1023" s="55"/>
      <c r="AM1023" s="55"/>
      <c r="AN1023" s="55"/>
      <c r="AO1023" s="55"/>
      <c r="AP1023" s="55"/>
      <c r="AQ1023" s="55"/>
      <c r="AR1023" s="55"/>
      <c r="AS1023" s="55"/>
      <c r="AT1023" s="55"/>
      <c r="AU1023" s="55"/>
    </row>
    <row r="1024" spans="1:47" ht="15.75" customHeight="1">
      <c r="A1024" s="60">
        <v>44803</v>
      </c>
      <c r="B1024" s="89" t="s">
        <v>1322</v>
      </c>
      <c r="C1024" s="62" t="s">
        <v>14</v>
      </c>
      <c r="D1024" s="46" t="s">
        <v>237</v>
      </c>
      <c r="E1024" s="70">
        <v>352012.79</v>
      </c>
      <c r="F1024" s="46" t="s">
        <v>367</v>
      </c>
      <c r="G1024" s="56" t="s">
        <v>24</v>
      </c>
      <c r="H1024" s="56" t="s">
        <v>12</v>
      </c>
      <c r="I1024" s="56" t="s">
        <v>357</v>
      </c>
      <c r="J1024" s="56">
        <v>44186</v>
      </c>
      <c r="K1024" s="56" t="s">
        <v>302</v>
      </c>
      <c r="L1024" s="55"/>
      <c r="M1024" s="55"/>
      <c r="N1024" s="55"/>
      <c r="O1024" s="55"/>
      <c r="P1024" s="55"/>
      <c r="Q1024" s="55"/>
      <c r="R1024" s="55"/>
      <c r="S1024" s="55"/>
      <c r="T1024" s="55"/>
      <c r="U1024" s="55"/>
      <c r="V1024" s="55"/>
      <c r="W1024" s="55"/>
      <c r="X1024" s="55"/>
      <c r="Y1024" s="55"/>
      <c r="Z1024" s="55"/>
      <c r="AA1024" s="55"/>
      <c r="AB1024" s="55"/>
      <c r="AC1024" s="55"/>
      <c r="AD1024" s="55"/>
      <c r="AE1024" s="55"/>
      <c r="AF1024" s="55"/>
      <c r="AG1024" s="55"/>
      <c r="AH1024" s="55"/>
      <c r="AI1024" s="55"/>
      <c r="AJ1024" s="55"/>
      <c r="AK1024" s="55"/>
      <c r="AL1024" s="55"/>
      <c r="AM1024" s="55"/>
      <c r="AN1024" s="55"/>
      <c r="AO1024" s="55"/>
      <c r="AP1024" s="55"/>
      <c r="AQ1024" s="55"/>
      <c r="AR1024" s="55"/>
      <c r="AS1024" s="55"/>
      <c r="AT1024" s="55"/>
      <c r="AU1024" s="55"/>
    </row>
    <row r="1025" spans="1:47" ht="15.75" customHeight="1">
      <c r="A1025" s="60">
        <v>44803</v>
      </c>
      <c r="B1025" s="89" t="s">
        <v>1323</v>
      </c>
      <c r="C1025" s="62" t="s">
        <v>14</v>
      </c>
      <c r="D1025" s="46" t="s">
        <v>237</v>
      </c>
      <c r="E1025" s="70">
        <v>130273.59</v>
      </c>
      <c r="F1025" s="46" t="s">
        <v>397</v>
      </c>
      <c r="G1025" s="56" t="s">
        <v>24</v>
      </c>
      <c r="H1025" s="56" t="s">
        <v>12</v>
      </c>
      <c r="I1025" s="56" t="s">
        <v>128</v>
      </c>
      <c r="J1025" s="56">
        <v>44211</v>
      </c>
      <c r="K1025" s="56" t="s">
        <v>298</v>
      </c>
      <c r="L1025" s="55"/>
      <c r="M1025" s="55"/>
      <c r="N1025" s="55"/>
      <c r="O1025" s="55"/>
      <c r="P1025" s="55"/>
      <c r="Q1025" s="55"/>
      <c r="R1025" s="55"/>
      <c r="S1025" s="55"/>
      <c r="T1025" s="55"/>
      <c r="U1025" s="55"/>
      <c r="V1025" s="55"/>
      <c r="W1025" s="55"/>
      <c r="X1025" s="55"/>
      <c r="Y1025" s="55"/>
      <c r="Z1025" s="55"/>
      <c r="AA1025" s="55"/>
      <c r="AB1025" s="55"/>
      <c r="AC1025" s="55"/>
      <c r="AD1025" s="55"/>
      <c r="AE1025" s="55"/>
      <c r="AF1025" s="55"/>
      <c r="AG1025" s="55"/>
      <c r="AH1025" s="55"/>
      <c r="AI1025" s="55"/>
      <c r="AJ1025" s="55"/>
      <c r="AK1025" s="55"/>
      <c r="AL1025" s="55"/>
      <c r="AM1025" s="55"/>
      <c r="AN1025" s="55"/>
      <c r="AO1025" s="55"/>
      <c r="AP1025" s="55"/>
      <c r="AQ1025" s="55"/>
      <c r="AR1025" s="55"/>
      <c r="AS1025" s="55"/>
      <c r="AT1025" s="55"/>
      <c r="AU1025" s="55"/>
    </row>
    <row r="1026" spans="1:47" ht="15.75" customHeight="1">
      <c r="A1026" s="60">
        <v>44803</v>
      </c>
      <c r="B1026" s="89" t="s">
        <v>1324</v>
      </c>
      <c r="C1026" s="62" t="s">
        <v>14</v>
      </c>
      <c r="D1026" s="46" t="s">
        <v>861</v>
      </c>
      <c r="E1026" s="70">
        <v>10000</v>
      </c>
      <c r="F1026" s="46" t="s">
        <v>360</v>
      </c>
      <c r="G1026" s="56" t="s">
        <v>11</v>
      </c>
      <c r="H1026" s="56" t="s">
        <v>17</v>
      </c>
      <c r="I1026" s="56" t="s">
        <v>26</v>
      </c>
      <c r="J1026" s="56">
        <v>44762</v>
      </c>
      <c r="K1026" s="56" t="s">
        <v>302</v>
      </c>
      <c r="L1026" s="55"/>
      <c r="M1026" s="55"/>
      <c r="N1026" s="55"/>
      <c r="O1026" s="55"/>
      <c r="P1026" s="55"/>
      <c r="Q1026" s="55"/>
      <c r="R1026" s="55"/>
      <c r="S1026" s="55"/>
      <c r="T1026" s="55"/>
      <c r="U1026" s="55"/>
      <c r="V1026" s="55"/>
      <c r="W1026" s="55"/>
      <c r="X1026" s="55"/>
      <c r="Y1026" s="55"/>
      <c r="Z1026" s="55"/>
      <c r="AA1026" s="55"/>
      <c r="AB1026" s="55"/>
      <c r="AC1026" s="55"/>
      <c r="AD1026" s="55"/>
      <c r="AE1026" s="55"/>
      <c r="AF1026" s="55"/>
      <c r="AG1026" s="55"/>
      <c r="AH1026" s="55"/>
      <c r="AI1026" s="55"/>
      <c r="AJ1026" s="55"/>
      <c r="AK1026" s="55"/>
      <c r="AL1026" s="55"/>
      <c r="AM1026" s="55"/>
      <c r="AN1026" s="55"/>
      <c r="AO1026" s="55"/>
      <c r="AP1026" s="55"/>
      <c r="AQ1026" s="55"/>
      <c r="AR1026" s="55"/>
      <c r="AS1026" s="55"/>
      <c r="AT1026" s="55"/>
      <c r="AU1026" s="55"/>
    </row>
    <row r="1027" spans="1:47" ht="15.75" customHeight="1">
      <c r="A1027" s="60">
        <v>44806</v>
      </c>
      <c r="B1027" s="89" t="s">
        <v>986</v>
      </c>
      <c r="C1027" s="62" t="s">
        <v>14</v>
      </c>
      <c r="D1027" s="46" t="s">
        <v>237</v>
      </c>
      <c r="E1027" s="70">
        <v>41167.949999999997</v>
      </c>
      <c r="F1027" s="46" t="s">
        <v>348</v>
      </c>
      <c r="G1027" s="56" t="s">
        <v>24</v>
      </c>
      <c r="H1027" s="56" t="s">
        <v>12</v>
      </c>
      <c r="I1027" s="56" t="s">
        <v>128</v>
      </c>
      <c r="J1027" s="56">
        <v>44160</v>
      </c>
      <c r="K1027" s="56"/>
      <c r="L1027" s="55"/>
      <c r="M1027" s="55"/>
      <c r="N1027" s="55"/>
      <c r="O1027" s="55"/>
      <c r="P1027" s="55"/>
      <c r="Q1027" s="55"/>
      <c r="R1027" s="55"/>
      <c r="S1027" s="55"/>
      <c r="T1027" s="55"/>
      <c r="U1027" s="55"/>
      <c r="V1027" s="55"/>
      <c r="W1027" s="55"/>
      <c r="X1027" s="55"/>
      <c r="Y1027" s="55"/>
      <c r="Z1027" s="55"/>
      <c r="AA1027" s="55"/>
      <c r="AB1027" s="55"/>
      <c r="AC1027" s="55"/>
      <c r="AD1027" s="55"/>
      <c r="AE1027" s="55"/>
      <c r="AF1027" s="55"/>
      <c r="AG1027" s="55"/>
      <c r="AH1027" s="55"/>
      <c r="AI1027" s="55"/>
      <c r="AJ1027" s="55"/>
      <c r="AK1027" s="55"/>
      <c r="AL1027" s="55"/>
      <c r="AM1027" s="55"/>
      <c r="AN1027" s="55"/>
      <c r="AO1027" s="55"/>
      <c r="AP1027" s="55"/>
      <c r="AQ1027" s="55"/>
      <c r="AR1027" s="55"/>
      <c r="AS1027" s="55"/>
      <c r="AT1027" s="55"/>
      <c r="AU1027" s="55"/>
    </row>
    <row r="1028" spans="1:47" ht="15.75" customHeight="1">
      <c r="A1028" s="60">
        <v>44810</v>
      </c>
      <c r="B1028" s="89" t="s">
        <v>1324</v>
      </c>
      <c r="C1028" s="62" t="s">
        <v>14</v>
      </c>
      <c r="D1028" s="46" t="s">
        <v>861</v>
      </c>
      <c r="E1028" s="70">
        <v>10000</v>
      </c>
      <c r="F1028" s="46" t="s">
        <v>360</v>
      </c>
      <c r="G1028" s="56" t="s">
        <v>11</v>
      </c>
      <c r="H1028" s="56" t="s">
        <v>17</v>
      </c>
      <c r="I1028" s="56" t="s">
        <v>26</v>
      </c>
      <c r="J1028" s="56">
        <v>44762</v>
      </c>
      <c r="K1028" s="56" t="s">
        <v>302</v>
      </c>
      <c r="L1028" s="55"/>
      <c r="M1028" s="55"/>
      <c r="N1028" s="55"/>
      <c r="O1028" s="55"/>
      <c r="P1028" s="55"/>
      <c r="Q1028" s="55"/>
      <c r="R1028" s="55"/>
      <c r="S1028" s="55"/>
      <c r="T1028" s="55"/>
      <c r="U1028" s="55"/>
      <c r="V1028" s="55"/>
      <c r="W1028" s="55"/>
      <c r="X1028" s="55"/>
      <c r="Y1028" s="55"/>
      <c r="Z1028" s="55"/>
      <c r="AA1028" s="55"/>
      <c r="AB1028" s="55"/>
      <c r="AC1028" s="55"/>
      <c r="AD1028" s="55"/>
      <c r="AE1028" s="55"/>
      <c r="AF1028" s="55"/>
      <c r="AG1028" s="55"/>
      <c r="AH1028" s="55"/>
      <c r="AI1028" s="55"/>
      <c r="AJ1028" s="55"/>
      <c r="AK1028" s="55"/>
      <c r="AL1028" s="55"/>
      <c r="AM1028" s="55"/>
      <c r="AN1028" s="55"/>
      <c r="AO1028" s="55"/>
      <c r="AP1028" s="55"/>
      <c r="AQ1028" s="55"/>
      <c r="AR1028" s="55"/>
      <c r="AS1028" s="55"/>
      <c r="AT1028" s="55"/>
      <c r="AU1028" s="55"/>
    </row>
    <row r="1029" spans="1:47" ht="15.75" customHeight="1">
      <c r="A1029" s="60">
        <v>44810</v>
      </c>
      <c r="B1029" s="89" t="s">
        <v>1325</v>
      </c>
      <c r="C1029" s="62" t="s">
        <v>14</v>
      </c>
      <c r="D1029" s="46" t="s">
        <v>861</v>
      </c>
      <c r="E1029" s="70">
        <v>4000</v>
      </c>
      <c r="F1029" s="46" t="s">
        <v>352</v>
      </c>
      <c r="G1029" s="56" t="s">
        <v>11</v>
      </c>
      <c r="H1029" s="56" t="s">
        <v>17</v>
      </c>
      <c r="I1029" s="56" t="s">
        <v>35</v>
      </c>
      <c r="J1029" s="56">
        <v>44497</v>
      </c>
      <c r="K1029" s="56" t="s">
        <v>302</v>
      </c>
      <c r="L1029" s="55"/>
      <c r="M1029" s="55"/>
      <c r="N1029" s="55"/>
      <c r="O1029" s="55"/>
      <c r="P1029" s="55"/>
      <c r="Q1029" s="55"/>
      <c r="R1029" s="55"/>
      <c r="S1029" s="55"/>
      <c r="T1029" s="55"/>
      <c r="U1029" s="55"/>
      <c r="V1029" s="55"/>
      <c r="W1029" s="55"/>
      <c r="X1029" s="55"/>
      <c r="Y1029" s="55"/>
      <c r="Z1029" s="55"/>
      <c r="AA1029" s="55"/>
      <c r="AB1029" s="55"/>
      <c r="AC1029" s="55"/>
      <c r="AD1029" s="55"/>
      <c r="AE1029" s="55"/>
      <c r="AF1029" s="55"/>
      <c r="AG1029" s="55"/>
      <c r="AH1029" s="55"/>
      <c r="AI1029" s="55"/>
      <c r="AJ1029" s="55"/>
      <c r="AK1029" s="55"/>
      <c r="AL1029" s="55"/>
      <c r="AM1029" s="55"/>
      <c r="AN1029" s="55"/>
      <c r="AO1029" s="55"/>
      <c r="AP1029" s="55"/>
      <c r="AQ1029" s="55"/>
      <c r="AR1029" s="55"/>
      <c r="AS1029" s="55"/>
      <c r="AT1029" s="55"/>
      <c r="AU1029" s="55"/>
    </row>
    <row r="1030" spans="1:47" ht="15.75" customHeight="1">
      <c r="A1030" s="60">
        <v>44810</v>
      </c>
      <c r="B1030" s="89" t="s">
        <v>1326</v>
      </c>
      <c r="C1030" s="62" t="s">
        <v>14</v>
      </c>
      <c r="D1030" s="46" t="s">
        <v>237</v>
      </c>
      <c r="E1030" s="70">
        <v>160322.21</v>
      </c>
      <c r="F1030" s="46" t="s">
        <v>473</v>
      </c>
      <c r="G1030" s="56" t="s">
        <v>11</v>
      </c>
      <c r="H1030" s="56" t="s">
        <v>17</v>
      </c>
      <c r="I1030" s="56" t="s">
        <v>369</v>
      </c>
      <c r="J1030" s="56">
        <v>44487</v>
      </c>
      <c r="K1030" s="56" t="s">
        <v>298</v>
      </c>
      <c r="L1030" s="55"/>
      <c r="M1030" s="55"/>
      <c r="N1030" s="55"/>
      <c r="O1030" s="55"/>
      <c r="P1030" s="55"/>
      <c r="Q1030" s="55"/>
      <c r="R1030" s="55"/>
      <c r="S1030" s="55"/>
      <c r="T1030" s="55"/>
      <c r="U1030" s="55"/>
      <c r="V1030" s="55"/>
      <c r="W1030" s="55"/>
      <c r="X1030" s="55"/>
      <c r="Y1030" s="55"/>
      <c r="Z1030" s="55"/>
      <c r="AA1030" s="55"/>
      <c r="AB1030" s="55"/>
      <c r="AC1030" s="55"/>
      <c r="AD1030" s="55"/>
      <c r="AE1030" s="55"/>
      <c r="AF1030" s="55"/>
      <c r="AG1030" s="55"/>
      <c r="AH1030" s="55"/>
      <c r="AI1030" s="55"/>
      <c r="AJ1030" s="55"/>
      <c r="AK1030" s="55"/>
      <c r="AL1030" s="55"/>
      <c r="AM1030" s="55"/>
      <c r="AN1030" s="55"/>
      <c r="AO1030" s="55"/>
      <c r="AP1030" s="55"/>
      <c r="AQ1030" s="55"/>
      <c r="AR1030" s="55"/>
      <c r="AS1030" s="55"/>
      <c r="AT1030" s="55"/>
      <c r="AU1030" s="55"/>
    </row>
    <row r="1031" spans="1:47" ht="15.75" customHeight="1">
      <c r="A1031" s="60">
        <v>44812</v>
      </c>
      <c r="B1031" s="89" t="s">
        <v>1327</v>
      </c>
      <c r="C1031" s="62" t="s">
        <v>14</v>
      </c>
      <c r="D1031" s="46" t="s">
        <v>861</v>
      </c>
      <c r="E1031" s="70">
        <v>96000</v>
      </c>
      <c r="F1031" s="46" t="s">
        <v>486</v>
      </c>
      <c r="G1031" s="56" t="s">
        <v>11</v>
      </c>
      <c r="H1031" s="56" t="s">
        <v>17</v>
      </c>
      <c r="I1031" s="56" t="s">
        <v>33</v>
      </c>
      <c r="J1031" s="56">
        <v>44698</v>
      </c>
      <c r="K1031" s="56" t="s">
        <v>304</v>
      </c>
      <c r="L1031" s="55"/>
      <c r="M1031" s="55"/>
      <c r="N1031" s="55"/>
      <c r="O1031" s="55"/>
      <c r="P1031" s="55"/>
      <c r="Q1031" s="55"/>
      <c r="R1031" s="55"/>
      <c r="S1031" s="55"/>
      <c r="T1031" s="55"/>
      <c r="U1031" s="55"/>
      <c r="V1031" s="55"/>
      <c r="W1031" s="55"/>
      <c r="X1031" s="55"/>
      <c r="Y1031" s="55"/>
      <c r="Z1031" s="55"/>
      <c r="AA1031" s="55"/>
      <c r="AB1031" s="55"/>
      <c r="AC1031" s="55"/>
      <c r="AD1031" s="55"/>
      <c r="AE1031" s="55"/>
      <c r="AF1031" s="55"/>
      <c r="AG1031" s="55"/>
      <c r="AH1031" s="55"/>
      <c r="AI1031" s="55"/>
      <c r="AJ1031" s="55"/>
      <c r="AK1031" s="55"/>
      <c r="AL1031" s="55"/>
      <c r="AM1031" s="55"/>
      <c r="AN1031" s="55"/>
      <c r="AO1031" s="55"/>
      <c r="AP1031" s="55"/>
      <c r="AQ1031" s="55"/>
      <c r="AR1031" s="55"/>
      <c r="AS1031" s="55"/>
      <c r="AT1031" s="55"/>
      <c r="AU1031" s="55"/>
    </row>
    <row r="1032" spans="1:47" ht="15.75" customHeight="1">
      <c r="A1032" s="60">
        <v>44812</v>
      </c>
      <c r="B1032" s="89" t="s">
        <v>1328</v>
      </c>
      <c r="C1032" s="62" t="s">
        <v>14</v>
      </c>
      <c r="D1032" s="46" t="s">
        <v>237</v>
      </c>
      <c r="E1032" s="70">
        <v>217697.33</v>
      </c>
      <c r="F1032" s="46" t="s">
        <v>561</v>
      </c>
      <c r="G1032" s="56" t="s">
        <v>11</v>
      </c>
      <c r="H1032" s="56" t="s">
        <v>17</v>
      </c>
      <c r="I1032" s="56" t="s">
        <v>369</v>
      </c>
      <c r="J1032" s="56">
        <v>44426</v>
      </c>
      <c r="K1032" s="56" t="s">
        <v>302</v>
      </c>
      <c r="L1032" s="55"/>
      <c r="M1032" s="55"/>
      <c r="N1032" s="55"/>
      <c r="O1032" s="55"/>
      <c r="P1032" s="55"/>
      <c r="Q1032" s="55"/>
      <c r="R1032" s="55"/>
      <c r="S1032" s="55"/>
      <c r="T1032" s="55"/>
      <c r="U1032" s="55"/>
      <c r="V1032" s="55"/>
      <c r="W1032" s="55"/>
      <c r="X1032" s="55"/>
      <c r="Y1032" s="55"/>
      <c r="Z1032" s="55"/>
      <c r="AA1032" s="55"/>
      <c r="AB1032" s="55"/>
      <c r="AC1032" s="55"/>
      <c r="AD1032" s="55"/>
      <c r="AE1032" s="55"/>
      <c r="AF1032" s="55"/>
      <c r="AG1032" s="55"/>
      <c r="AH1032" s="55"/>
      <c r="AI1032" s="55"/>
      <c r="AJ1032" s="55"/>
      <c r="AK1032" s="55"/>
      <c r="AL1032" s="55"/>
      <c r="AM1032" s="55"/>
      <c r="AN1032" s="55"/>
      <c r="AO1032" s="55"/>
      <c r="AP1032" s="55"/>
      <c r="AQ1032" s="55"/>
      <c r="AR1032" s="55"/>
      <c r="AS1032" s="55"/>
      <c r="AT1032" s="55"/>
      <c r="AU1032" s="55"/>
    </row>
    <row r="1033" spans="1:47" ht="15.75" customHeight="1">
      <c r="A1033" s="60">
        <v>44812</v>
      </c>
      <c r="B1033" s="89" t="s">
        <v>1329</v>
      </c>
      <c r="C1033" s="62" t="s">
        <v>150</v>
      </c>
      <c r="D1033" s="46" t="s">
        <v>237</v>
      </c>
      <c r="E1033" s="70">
        <v>865757.17</v>
      </c>
      <c r="F1033" s="46" t="s">
        <v>166</v>
      </c>
      <c r="G1033" s="56" t="s">
        <v>11</v>
      </c>
      <c r="H1033" s="56" t="s">
        <v>9</v>
      </c>
      <c r="I1033" s="56" t="s">
        <v>98</v>
      </c>
      <c r="J1033" s="56">
        <v>44263</v>
      </c>
      <c r="K1033" s="56" t="s">
        <v>301</v>
      </c>
      <c r="L1033" s="55"/>
      <c r="M1033" s="55"/>
      <c r="N1033" s="55"/>
      <c r="O1033" s="55"/>
      <c r="P1033" s="55"/>
      <c r="Q1033" s="55"/>
      <c r="R1033" s="55"/>
      <c r="S1033" s="55"/>
      <c r="T1033" s="55"/>
      <c r="U1033" s="55"/>
      <c r="V1033" s="55"/>
      <c r="W1033" s="55"/>
      <c r="X1033" s="55"/>
      <c r="Y1033" s="55"/>
      <c r="Z1033" s="55"/>
      <c r="AA1033" s="55"/>
      <c r="AB1033" s="55"/>
      <c r="AC1033" s="55"/>
      <c r="AD1033" s="55"/>
      <c r="AE1033" s="55"/>
      <c r="AF1033" s="55"/>
      <c r="AG1033" s="55"/>
      <c r="AH1033" s="55"/>
      <c r="AI1033" s="55"/>
      <c r="AJ1033" s="55"/>
      <c r="AK1033" s="55"/>
      <c r="AL1033" s="55"/>
      <c r="AM1033" s="55"/>
      <c r="AN1033" s="55"/>
      <c r="AO1033" s="55"/>
      <c r="AP1033" s="55"/>
      <c r="AQ1033" s="55"/>
      <c r="AR1033" s="55"/>
      <c r="AS1033" s="55"/>
      <c r="AT1033" s="55"/>
      <c r="AU1033" s="55"/>
    </row>
    <row r="1034" spans="1:47" ht="15.75" customHeight="1">
      <c r="A1034" s="60">
        <v>44816</v>
      </c>
      <c r="B1034" s="89" t="s">
        <v>1330</v>
      </c>
      <c r="C1034" s="62" t="s">
        <v>14</v>
      </c>
      <c r="D1034" s="46" t="s">
        <v>237</v>
      </c>
      <c r="E1034" s="70">
        <v>662610.46</v>
      </c>
      <c r="F1034" s="46" t="s">
        <v>489</v>
      </c>
      <c r="G1034" s="56" t="s">
        <v>11</v>
      </c>
      <c r="H1034" s="56" t="s">
        <v>17</v>
      </c>
      <c r="I1034" s="56" t="s">
        <v>369</v>
      </c>
      <c r="J1034" s="56">
        <v>44517</v>
      </c>
      <c r="K1034" s="46" t="s">
        <v>309</v>
      </c>
      <c r="L1034" s="55"/>
      <c r="M1034" s="55"/>
      <c r="N1034" s="55"/>
      <c r="O1034" s="55"/>
      <c r="P1034" s="55"/>
      <c r="Q1034" s="55"/>
      <c r="R1034" s="55"/>
      <c r="S1034" s="55"/>
      <c r="T1034" s="55"/>
      <c r="U1034" s="55"/>
      <c r="V1034" s="55"/>
      <c r="W1034" s="55"/>
      <c r="X1034" s="55"/>
      <c r="Y1034" s="55"/>
      <c r="Z1034" s="55"/>
      <c r="AA1034" s="55"/>
      <c r="AB1034" s="55"/>
      <c r="AC1034" s="55"/>
      <c r="AD1034" s="55"/>
      <c r="AE1034" s="55"/>
      <c r="AF1034" s="55"/>
      <c r="AG1034" s="55"/>
      <c r="AH1034" s="55"/>
      <c r="AI1034" s="55"/>
      <c r="AJ1034" s="55"/>
      <c r="AK1034" s="55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</row>
    <row r="1035" spans="1:47" ht="15.75" customHeight="1">
      <c r="A1035" s="60">
        <v>44816</v>
      </c>
      <c r="B1035" s="89" t="s">
        <v>1331</v>
      </c>
      <c r="C1035" s="62" t="s">
        <v>14</v>
      </c>
      <c r="D1035" s="46" t="s">
        <v>861</v>
      </c>
      <c r="E1035" s="70">
        <v>17000</v>
      </c>
      <c r="F1035" s="46" t="s">
        <v>555</v>
      </c>
      <c r="G1035" s="56" t="s">
        <v>24</v>
      </c>
      <c r="H1035" s="56" t="s">
        <v>12</v>
      </c>
      <c r="I1035" s="56" t="s">
        <v>358</v>
      </c>
      <c r="J1035" s="56">
        <v>44147</v>
      </c>
      <c r="K1035" s="56" t="s">
        <v>304</v>
      </c>
      <c r="L1035" s="55"/>
      <c r="M1035" s="55"/>
      <c r="N1035" s="55"/>
      <c r="O1035" s="55"/>
      <c r="P1035" s="55"/>
      <c r="Q1035" s="55"/>
      <c r="R1035" s="55"/>
      <c r="S1035" s="55"/>
      <c r="T1035" s="55"/>
      <c r="U1035" s="55"/>
      <c r="V1035" s="55"/>
      <c r="W1035" s="55"/>
      <c r="X1035" s="55"/>
      <c r="Y1035" s="55"/>
      <c r="Z1035" s="55"/>
      <c r="AA1035" s="55"/>
      <c r="AB1035" s="55"/>
      <c r="AC1035" s="55"/>
      <c r="AD1035" s="55"/>
      <c r="AE1035" s="55"/>
      <c r="AF1035" s="55"/>
      <c r="AG1035" s="55"/>
      <c r="AH1035" s="55"/>
      <c r="AI1035" s="55"/>
      <c r="AJ1035" s="55"/>
      <c r="AK1035" s="55"/>
      <c r="AL1035" s="55"/>
      <c r="AM1035" s="55"/>
      <c r="AN1035" s="55"/>
      <c r="AO1035" s="55"/>
      <c r="AP1035" s="55"/>
      <c r="AQ1035" s="55"/>
      <c r="AR1035" s="55"/>
      <c r="AS1035" s="55"/>
      <c r="AT1035" s="55"/>
      <c r="AU1035" s="55"/>
    </row>
    <row r="1036" spans="1:47" ht="15.75" customHeight="1">
      <c r="A1036" s="60">
        <v>44817</v>
      </c>
      <c r="B1036" s="89" t="s">
        <v>1273</v>
      </c>
      <c r="C1036" s="62" t="s">
        <v>14</v>
      </c>
      <c r="D1036" s="46" t="s">
        <v>861</v>
      </c>
      <c r="E1036" s="70">
        <v>20000</v>
      </c>
      <c r="F1036" s="46" t="s">
        <v>65</v>
      </c>
      <c r="G1036" s="56" t="s">
        <v>24</v>
      </c>
      <c r="H1036" s="56" t="s">
        <v>12</v>
      </c>
      <c r="I1036" s="56" t="s">
        <v>128</v>
      </c>
      <c r="J1036" s="56">
        <v>44138</v>
      </c>
      <c r="K1036" s="56" t="s">
        <v>302</v>
      </c>
      <c r="L1036" s="55"/>
      <c r="M1036" s="55"/>
      <c r="N1036" s="55"/>
      <c r="O1036" s="55"/>
      <c r="P1036" s="55"/>
      <c r="Q1036" s="55"/>
      <c r="R1036" s="55"/>
      <c r="S1036" s="55"/>
      <c r="T1036" s="55"/>
      <c r="U1036" s="55"/>
      <c r="V1036" s="55"/>
      <c r="W1036" s="55"/>
      <c r="X1036" s="55"/>
      <c r="Y1036" s="55"/>
      <c r="Z1036" s="55"/>
      <c r="AA1036" s="55"/>
      <c r="AB1036" s="55"/>
      <c r="AC1036" s="55"/>
      <c r="AD1036" s="55"/>
      <c r="AE1036" s="55"/>
      <c r="AF1036" s="55"/>
      <c r="AG1036" s="55"/>
      <c r="AH1036" s="55"/>
      <c r="AI1036" s="55"/>
      <c r="AJ1036" s="55"/>
      <c r="AK1036" s="55"/>
      <c r="AL1036" s="55"/>
      <c r="AM1036" s="55"/>
      <c r="AN1036" s="55"/>
      <c r="AO1036" s="55"/>
      <c r="AP1036" s="55"/>
      <c r="AQ1036" s="55"/>
      <c r="AR1036" s="55"/>
      <c r="AS1036" s="55"/>
      <c r="AT1036" s="55"/>
      <c r="AU1036" s="55"/>
    </row>
    <row r="1037" spans="1:47" ht="15.75" customHeight="1">
      <c r="A1037" s="60">
        <v>44817</v>
      </c>
      <c r="B1037" s="89" t="s">
        <v>1172</v>
      </c>
      <c r="C1037" s="62" t="s">
        <v>14</v>
      </c>
      <c r="D1037" s="46" t="s">
        <v>861</v>
      </c>
      <c r="E1037" s="70">
        <v>25000</v>
      </c>
      <c r="F1037" s="46" t="s">
        <v>333</v>
      </c>
      <c r="G1037" s="56" t="s">
        <v>11</v>
      </c>
      <c r="H1037" s="56" t="s">
        <v>12</v>
      </c>
      <c r="I1037" s="56" t="s">
        <v>334</v>
      </c>
      <c r="J1037" s="56">
        <v>44061</v>
      </c>
      <c r="K1037" s="56" t="s">
        <v>298</v>
      </c>
      <c r="L1037" s="55"/>
      <c r="M1037" s="55"/>
      <c r="N1037" s="55"/>
      <c r="O1037" s="55"/>
      <c r="P1037" s="55"/>
      <c r="Q1037" s="55"/>
      <c r="R1037" s="55"/>
      <c r="S1037" s="55"/>
      <c r="T1037" s="55"/>
      <c r="U1037" s="55"/>
      <c r="V1037" s="55"/>
      <c r="W1037" s="55"/>
      <c r="X1037" s="55"/>
      <c r="Y1037" s="55"/>
      <c r="Z1037" s="55"/>
      <c r="AA1037" s="55"/>
      <c r="AB1037" s="55"/>
      <c r="AC1037" s="55"/>
      <c r="AD1037" s="55"/>
      <c r="AE1037" s="55"/>
      <c r="AF1037" s="55"/>
      <c r="AG1037" s="55"/>
      <c r="AH1037" s="55"/>
      <c r="AI1037" s="55"/>
      <c r="AJ1037" s="55"/>
      <c r="AK1037" s="55"/>
      <c r="AL1037" s="55"/>
      <c r="AM1037" s="55"/>
      <c r="AN1037" s="55"/>
      <c r="AO1037" s="55"/>
      <c r="AP1037" s="55"/>
      <c r="AQ1037" s="55"/>
      <c r="AR1037" s="55"/>
      <c r="AS1037" s="55"/>
      <c r="AT1037" s="55"/>
      <c r="AU1037" s="55"/>
    </row>
    <row r="1038" spans="1:47" ht="15.75" customHeight="1">
      <c r="A1038" s="60">
        <v>44818</v>
      </c>
      <c r="B1038" s="89" t="s">
        <v>1332</v>
      </c>
      <c r="C1038" s="62" t="s">
        <v>14</v>
      </c>
      <c r="D1038" s="46" t="s">
        <v>237</v>
      </c>
      <c r="E1038" s="70">
        <v>384533.87</v>
      </c>
      <c r="F1038" s="46" t="s">
        <v>553</v>
      </c>
      <c r="G1038" s="56" t="s">
        <v>11</v>
      </c>
      <c r="H1038" s="56" t="s">
        <v>17</v>
      </c>
      <c r="I1038" s="56" t="s">
        <v>369</v>
      </c>
      <c r="J1038" s="56">
        <v>44421</v>
      </c>
      <c r="K1038" s="56" t="s">
        <v>302</v>
      </c>
      <c r="L1038" s="55"/>
      <c r="M1038" s="55"/>
      <c r="N1038" s="55"/>
      <c r="O1038" s="55"/>
      <c r="P1038" s="55"/>
      <c r="Q1038" s="55"/>
      <c r="R1038" s="55"/>
      <c r="S1038" s="55"/>
      <c r="T1038" s="55"/>
      <c r="U1038" s="55"/>
      <c r="V1038" s="55"/>
      <c r="W1038" s="55"/>
      <c r="X1038" s="55"/>
      <c r="Y1038" s="55"/>
      <c r="Z1038" s="55"/>
      <c r="AA1038" s="55"/>
      <c r="AB1038" s="55"/>
      <c r="AC1038" s="55"/>
      <c r="AD1038" s="55"/>
      <c r="AE1038" s="55"/>
      <c r="AF1038" s="55"/>
      <c r="AG1038" s="55"/>
      <c r="AH1038" s="55"/>
      <c r="AI1038" s="55"/>
      <c r="AJ1038" s="55"/>
      <c r="AK1038" s="55"/>
      <c r="AL1038" s="55"/>
      <c r="AM1038" s="55"/>
      <c r="AN1038" s="55"/>
      <c r="AO1038" s="55"/>
      <c r="AP1038" s="55"/>
      <c r="AQ1038" s="55"/>
      <c r="AR1038" s="55"/>
      <c r="AS1038" s="55"/>
      <c r="AT1038" s="55"/>
      <c r="AU1038" s="55"/>
    </row>
    <row r="1039" spans="1:47" ht="15.75" customHeight="1">
      <c r="A1039" s="60">
        <v>44819</v>
      </c>
      <c r="B1039" s="89" t="s">
        <v>1183</v>
      </c>
      <c r="C1039" s="62" t="s">
        <v>14</v>
      </c>
      <c r="D1039" s="46" t="s">
        <v>861</v>
      </c>
      <c r="E1039" s="70">
        <v>30000</v>
      </c>
      <c r="F1039" s="46" t="s">
        <v>69</v>
      </c>
      <c r="G1039" s="56" t="s">
        <v>11</v>
      </c>
      <c r="H1039" s="56" t="s">
        <v>12</v>
      </c>
      <c r="I1039" s="56" t="s">
        <v>851</v>
      </c>
      <c r="J1039" s="56">
        <v>44594</v>
      </c>
      <c r="K1039" s="56" t="s">
        <v>301</v>
      </c>
      <c r="L1039" s="55"/>
      <c r="M1039" s="55"/>
      <c r="N1039" s="55"/>
      <c r="O1039" s="55"/>
      <c r="P1039" s="55"/>
      <c r="Q1039" s="55"/>
      <c r="R1039" s="55"/>
      <c r="S1039" s="55"/>
      <c r="T1039" s="55"/>
      <c r="U1039" s="55"/>
      <c r="V1039" s="55"/>
      <c r="W1039" s="55"/>
      <c r="X1039" s="55"/>
      <c r="Y1039" s="55"/>
      <c r="Z1039" s="55"/>
      <c r="AA1039" s="55"/>
      <c r="AB1039" s="55"/>
      <c r="AC1039" s="55"/>
      <c r="AD1039" s="55"/>
      <c r="AE1039" s="55"/>
      <c r="AF1039" s="55"/>
      <c r="AG1039" s="55"/>
      <c r="AH1039" s="55"/>
      <c r="AI1039" s="55"/>
      <c r="AJ1039" s="55"/>
      <c r="AK1039" s="55"/>
      <c r="AL1039" s="55"/>
      <c r="AM1039" s="55"/>
      <c r="AN1039" s="55"/>
      <c r="AO1039" s="55"/>
      <c r="AP1039" s="55"/>
      <c r="AQ1039" s="55"/>
      <c r="AR1039" s="55"/>
      <c r="AS1039" s="55"/>
      <c r="AT1039" s="55"/>
      <c r="AU1039" s="55"/>
    </row>
    <row r="1040" spans="1:47" ht="15.75" customHeight="1">
      <c r="A1040" s="60">
        <v>44820</v>
      </c>
      <c r="B1040" s="89" t="s">
        <v>1333</v>
      </c>
      <c r="C1040" s="62" t="s">
        <v>14</v>
      </c>
      <c r="D1040" s="46" t="s">
        <v>54</v>
      </c>
      <c r="E1040" s="70">
        <v>190943.67</v>
      </c>
      <c r="F1040" s="46" t="s">
        <v>1334</v>
      </c>
      <c r="G1040" s="56" t="s">
        <v>107</v>
      </c>
      <c r="H1040" s="56" t="s">
        <v>12</v>
      </c>
      <c r="I1040" s="56" t="s">
        <v>107</v>
      </c>
      <c r="J1040" s="56">
        <v>44361</v>
      </c>
      <c r="K1040" s="56" t="s">
        <v>302</v>
      </c>
      <c r="L1040" s="55"/>
      <c r="M1040" s="55"/>
      <c r="N1040" s="55"/>
      <c r="O1040" s="55"/>
      <c r="P1040" s="55"/>
      <c r="Q1040" s="55"/>
      <c r="R1040" s="55"/>
      <c r="S1040" s="55"/>
      <c r="T1040" s="55"/>
      <c r="U1040" s="55"/>
      <c r="V1040" s="55"/>
      <c r="W1040" s="55"/>
      <c r="X1040" s="55"/>
      <c r="Y1040" s="55"/>
      <c r="Z1040" s="55"/>
      <c r="AA1040" s="55"/>
      <c r="AB1040" s="55"/>
      <c r="AC1040" s="55"/>
      <c r="AD1040" s="55"/>
      <c r="AE1040" s="55"/>
      <c r="AF1040" s="55"/>
      <c r="AG1040" s="55"/>
      <c r="AH1040" s="55"/>
      <c r="AI1040" s="55"/>
      <c r="AJ1040" s="55"/>
      <c r="AK1040" s="55"/>
      <c r="AL1040" s="55"/>
      <c r="AM1040" s="55"/>
      <c r="AN1040" s="55"/>
      <c r="AO1040" s="55"/>
      <c r="AP1040" s="55"/>
      <c r="AQ1040" s="55"/>
      <c r="AR1040" s="55"/>
      <c r="AS1040" s="55"/>
      <c r="AT1040" s="55"/>
      <c r="AU1040" s="55"/>
    </row>
    <row r="1041" spans="1:47" ht="15.75" customHeight="1">
      <c r="A1041" s="60">
        <v>44820</v>
      </c>
      <c r="B1041" s="89" t="s">
        <v>1335</v>
      </c>
      <c r="C1041" s="62" t="s">
        <v>14</v>
      </c>
      <c r="D1041" s="46" t="s">
        <v>237</v>
      </c>
      <c r="E1041" s="70">
        <v>32923.57</v>
      </c>
      <c r="F1041" s="46" t="s">
        <v>509</v>
      </c>
      <c r="G1041" s="56" t="s">
        <v>11</v>
      </c>
      <c r="H1041" s="56" t="s">
        <v>17</v>
      </c>
      <c r="I1041" s="56" t="s">
        <v>510</v>
      </c>
      <c r="J1041" s="56">
        <v>44623</v>
      </c>
      <c r="K1041" s="46" t="s">
        <v>1336</v>
      </c>
      <c r="L1041" s="55"/>
      <c r="M1041" s="55"/>
      <c r="N1041" s="55"/>
      <c r="O1041" s="55"/>
      <c r="P1041" s="55"/>
      <c r="Q1041" s="55"/>
      <c r="R1041" s="55"/>
      <c r="S1041" s="55"/>
      <c r="T1041" s="55"/>
      <c r="U1041" s="55"/>
      <c r="V1041" s="55"/>
      <c r="W1041" s="55"/>
      <c r="X1041" s="55"/>
      <c r="Y1041" s="55"/>
      <c r="Z1041" s="55"/>
      <c r="AA1041" s="55"/>
      <c r="AB1041" s="55"/>
      <c r="AC1041" s="55"/>
      <c r="AD1041" s="55"/>
      <c r="AE1041" s="55"/>
      <c r="AF1041" s="55"/>
      <c r="AG1041" s="55"/>
      <c r="AH1041" s="55"/>
      <c r="AI1041" s="55"/>
      <c r="AJ1041" s="55"/>
      <c r="AK1041" s="55"/>
      <c r="AL1041" s="55"/>
      <c r="AM1041" s="55"/>
      <c r="AN1041" s="55"/>
      <c r="AO1041" s="55"/>
      <c r="AP1041" s="55"/>
      <c r="AQ1041" s="55"/>
      <c r="AR1041" s="55"/>
      <c r="AS1041" s="55"/>
      <c r="AT1041" s="55"/>
      <c r="AU1041" s="55"/>
    </row>
    <row r="1042" spans="1:47" ht="15.75" customHeight="1">
      <c r="A1042" s="60">
        <v>44824</v>
      </c>
      <c r="B1042" s="89" t="s">
        <v>1324</v>
      </c>
      <c r="C1042" s="62" t="s">
        <v>14</v>
      </c>
      <c r="D1042" s="46" t="s">
        <v>861</v>
      </c>
      <c r="E1042" s="70">
        <v>10000</v>
      </c>
      <c r="F1042" s="46" t="s">
        <v>360</v>
      </c>
      <c r="G1042" s="56" t="s">
        <v>11</v>
      </c>
      <c r="H1042" s="56" t="s">
        <v>17</v>
      </c>
      <c r="I1042" s="56" t="s">
        <v>26</v>
      </c>
      <c r="J1042" s="56">
        <v>44762</v>
      </c>
      <c r="K1042" s="56" t="s">
        <v>302</v>
      </c>
      <c r="L1042" s="55"/>
      <c r="M1042" s="55"/>
      <c r="N1042" s="55"/>
      <c r="O1042" s="55"/>
      <c r="P1042" s="55"/>
      <c r="Q1042" s="55"/>
      <c r="R1042" s="55"/>
      <c r="S1042" s="55"/>
      <c r="T1042" s="55"/>
      <c r="U1042" s="55"/>
      <c r="V1042" s="55"/>
      <c r="W1042" s="55"/>
      <c r="X1042" s="55"/>
      <c r="Y1042" s="55"/>
      <c r="Z1042" s="55"/>
      <c r="AA1042" s="55"/>
      <c r="AB1042" s="55"/>
      <c r="AC1042" s="55"/>
      <c r="AD1042" s="55"/>
      <c r="AE1042" s="55"/>
      <c r="AF1042" s="55"/>
      <c r="AG1042" s="55"/>
      <c r="AH1042" s="55"/>
      <c r="AI1042" s="55"/>
      <c r="AJ1042" s="55"/>
      <c r="AK1042" s="55"/>
      <c r="AL1042" s="55"/>
      <c r="AM1042" s="55"/>
      <c r="AN1042" s="55"/>
      <c r="AO1042" s="55"/>
      <c r="AP1042" s="55"/>
      <c r="AQ1042" s="55"/>
      <c r="AR1042" s="55"/>
      <c r="AS1042" s="55"/>
      <c r="AT1042" s="55"/>
      <c r="AU1042" s="55"/>
    </row>
    <row r="1043" spans="1:47" ht="15.75" customHeight="1">
      <c r="A1043" s="60">
        <v>44824</v>
      </c>
      <c r="B1043" s="89" t="s">
        <v>1337</v>
      </c>
      <c r="C1043" s="62" t="s">
        <v>14</v>
      </c>
      <c r="D1043" s="46" t="s">
        <v>861</v>
      </c>
      <c r="E1043" s="70">
        <v>96196</v>
      </c>
      <c r="F1043" s="46" t="s">
        <v>439</v>
      </c>
      <c r="G1043" s="56" t="s">
        <v>11</v>
      </c>
      <c r="H1043" s="56" t="s">
        <v>12</v>
      </c>
      <c r="I1043" s="56" t="s">
        <v>368</v>
      </c>
      <c r="J1043" s="56">
        <v>44218</v>
      </c>
      <c r="K1043" s="56" t="s">
        <v>295</v>
      </c>
      <c r="L1043" s="55"/>
      <c r="M1043" s="55"/>
      <c r="N1043" s="55"/>
      <c r="O1043" s="55"/>
      <c r="P1043" s="55"/>
      <c r="Q1043" s="55"/>
      <c r="R1043" s="55"/>
      <c r="S1043" s="55"/>
      <c r="T1043" s="55"/>
      <c r="U1043" s="55"/>
      <c r="V1043" s="55"/>
      <c r="W1043" s="55"/>
      <c r="X1043" s="55"/>
      <c r="Y1043" s="55"/>
      <c r="Z1043" s="55"/>
      <c r="AA1043" s="55"/>
      <c r="AB1043" s="55"/>
      <c r="AC1043" s="55"/>
      <c r="AD1043" s="55"/>
      <c r="AE1043" s="55"/>
      <c r="AF1043" s="55"/>
      <c r="AG1043" s="55"/>
      <c r="AH1043" s="55"/>
      <c r="AI1043" s="55"/>
      <c r="AJ1043" s="55"/>
      <c r="AK1043" s="55"/>
      <c r="AL1043" s="55"/>
      <c r="AM1043" s="55"/>
      <c r="AN1043" s="55"/>
      <c r="AO1043" s="55"/>
      <c r="AP1043" s="55"/>
      <c r="AQ1043" s="55"/>
      <c r="AR1043" s="55"/>
      <c r="AS1043" s="55"/>
      <c r="AT1043" s="55"/>
      <c r="AU1043" s="55"/>
    </row>
    <row r="1044" spans="1:47" ht="15.75" customHeight="1">
      <c r="A1044" s="60">
        <v>44825</v>
      </c>
      <c r="B1044" s="89">
        <v>5663320</v>
      </c>
      <c r="C1044" s="62" t="s">
        <v>14</v>
      </c>
      <c r="D1044" s="46" t="s">
        <v>861</v>
      </c>
      <c r="E1044" s="70">
        <v>21000</v>
      </c>
      <c r="F1044" s="46" t="s">
        <v>498</v>
      </c>
      <c r="G1044" s="56" t="s">
        <v>11</v>
      </c>
      <c r="H1044" s="56" t="s">
        <v>12</v>
      </c>
      <c r="I1044" s="56" t="s">
        <v>18</v>
      </c>
      <c r="J1044" s="56">
        <v>44385</v>
      </c>
      <c r="K1044" s="56" t="s">
        <v>309</v>
      </c>
      <c r="L1044" s="55"/>
      <c r="M1044" s="55"/>
      <c r="N1044" s="55"/>
      <c r="O1044" s="55"/>
      <c r="P1044" s="55"/>
      <c r="Q1044" s="55"/>
      <c r="R1044" s="55"/>
      <c r="S1044" s="55"/>
      <c r="T1044" s="55"/>
      <c r="U1044" s="55"/>
      <c r="V1044" s="55"/>
      <c r="W1044" s="55"/>
      <c r="X1044" s="55"/>
      <c r="Y1044" s="55"/>
      <c r="Z1044" s="55"/>
      <c r="AA1044" s="55"/>
      <c r="AB1044" s="55"/>
      <c r="AC1044" s="55"/>
      <c r="AD1044" s="55"/>
      <c r="AE1044" s="55"/>
      <c r="AF1044" s="55"/>
      <c r="AG1044" s="55"/>
      <c r="AH1044" s="55"/>
      <c r="AI1044" s="55"/>
      <c r="AJ1044" s="55"/>
      <c r="AK1044" s="55"/>
      <c r="AL1044" s="55"/>
      <c r="AM1044" s="55"/>
      <c r="AN1044" s="55"/>
      <c r="AO1044" s="55"/>
      <c r="AP1044" s="55"/>
      <c r="AQ1044" s="55"/>
      <c r="AR1044" s="55"/>
      <c r="AS1044" s="55"/>
      <c r="AT1044" s="55"/>
      <c r="AU1044" s="55"/>
    </row>
    <row r="1045" spans="1:47" ht="15.75" customHeight="1">
      <c r="A1045" s="60">
        <v>44826</v>
      </c>
      <c r="B1045" s="89" t="s">
        <v>1338</v>
      </c>
      <c r="C1045" s="62" t="s">
        <v>14</v>
      </c>
      <c r="D1045" s="46" t="s">
        <v>237</v>
      </c>
      <c r="E1045" s="70" t="s">
        <v>198</v>
      </c>
      <c r="F1045" s="46" t="s">
        <v>1339</v>
      </c>
      <c r="G1045" s="56" t="s">
        <v>11</v>
      </c>
      <c r="H1045" s="56" t="s">
        <v>9</v>
      </c>
      <c r="I1045" s="56" t="s">
        <v>29</v>
      </c>
      <c r="J1045" s="56">
        <v>44824</v>
      </c>
      <c r="K1045" s="56" t="s">
        <v>304</v>
      </c>
      <c r="L1045" s="55"/>
      <c r="M1045" s="55"/>
      <c r="N1045" s="55"/>
      <c r="O1045" s="55"/>
      <c r="P1045" s="55"/>
      <c r="Q1045" s="55"/>
      <c r="R1045" s="55"/>
      <c r="S1045" s="55"/>
      <c r="T1045" s="55"/>
      <c r="U1045" s="55"/>
      <c r="V1045" s="55"/>
      <c r="W1045" s="55"/>
      <c r="X1045" s="55"/>
      <c r="Y1045" s="55"/>
      <c r="Z1045" s="55"/>
      <c r="AA1045" s="55"/>
      <c r="AB1045" s="55"/>
      <c r="AC1045" s="55"/>
      <c r="AD1045" s="55"/>
      <c r="AE1045" s="55"/>
      <c r="AF1045" s="55"/>
      <c r="AG1045" s="55"/>
      <c r="AH1045" s="55"/>
      <c r="AI1045" s="55"/>
      <c r="AJ1045" s="55"/>
      <c r="AK1045" s="55"/>
      <c r="AL1045" s="55"/>
      <c r="AM1045" s="55"/>
      <c r="AN1045" s="55"/>
      <c r="AO1045" s="55"/>
      <c r="AP1045" s="55"/>
      <c r="AQ1045" s="55"/>
      <c r="AR1045" s="55"/>
      <c r="AS1045" s="55"/>
      <c r="AT1045" s="55"/>
      <c r="AU1045" s="55"/>
    </row>
    <row r="1046" spans="1:47" ht="15.75" customHeight="1">
      <c r="A1046" s="60">
        <v>44827</v>
      </c>
      <c r="B1046" s="89" t="s">
        <v>1340</v>
      </c>
      <c r="C1046" s="62" t="s">
        <v>14</v>
      </c>
      <c r="D1046" s="46" t="s">
        <v>861</v>
      </c>
      <c r="E1046" s="70">
        <v>60000</v>
      </c>
      <c r="F1046" s="46" t="s">
        <v>307</v>
      </c>
      <c r="G1046" s="56" t="s">
        <v>11</v>
      </c>
      <c r="H1046" s="56" t="s">
        <v>12</v>
      </c>
      <c r="I1046" s="56" t="s">
        <v>18</v>
      </c>
      <c r="J1046" s="56">
        <v>44652</v>
      </c>
      <c r="K1046" s="56" t="s">
        <v>301</v>
      </c>
      <c r="L1046" s="55"/>
      <c r="M1046" s="55"/>
      <c r="N1046" s="55"/>
      <c r="O1046" s="55"/>
      <c r="P1046" s="55"/>
      <c r="Q1046" s="55"/>
      <c r="R1046" s="55"/>
      <c r="S1046" s="55"/>
      <c r="T1046" s="55"/>
      <c r="U1046" s="55"/>
      <c r="V1046" s="55"/>
      <c r="W1046" s="55"/>
      <c r="X1046" s="55"/>
      <c r="Y1046" s="55"/>
      <c r="Z1046" s="55"/>
      <c r="AA1046" s="55"/>
      <c r="AB1046" s="55"/>
      <c r="AC1046" s="55"/>
      <c r="AD1046" s="55"/>
      <c r="AE1046" s="55"/>
      <c r="AF1046" s="55"/>
      <c r="AG1046" s="55"/>
      <c r="AH1046" s="55"/>
      <c r="AI1046" s="55"/>
      <c r="AJ1046" s="55"/>
      <c r="AK1046" s="55"/>
      <c r="AL1046" s="55"/>
      <c r="AM1046" s="55"/>
      <c r="AN1046" s="55"/>
      <c r="AO1046" s="55"/>
      <c r="AP1046" s="55"/>
      <c r="AQ1046" s="55"/>
      <c r="AR1046" s="55"/>
      <c r="AS1046" s="55"/>
      <c r="AT1046" s="55"/>
      <c r="AU1046" s="55"/>
    </row>
    <row r="1047" spans="1:47" ht="15.75" customHeight="1">
      <c r="A1047" s="60">
        <v>44827</v>
      </c>
      <c r="B1047" s="89" t="s">
        <v>1320</v>
      </c>
      <c r="C1047" s="62" t="s">
        <v>14</v>
      </c>
      <c r="D1047" s="46" t="s">
        <v>861</v>
      </c>
      <c r="E1047" s="70">
        <v>18000</v>
      </c>
      <c r="F1047" s="46" t="s">
        <v>461</v>
      </c>
      <c r="G1047" s="56" t="s">
        <v>11</v>
      </c>
      <c r="H1047" s="56" t="s">
        <v>17</v>
      </c>
      <c r="I1047" s="56" t="s">
        <v>1321</v>
      </c>
      <c r="J1047" s="56">
        <v>44776</v>
      </c>
      <c r="K1047" s="56" t="s">
        <v>304</v>
      </c>
      <c r="L1047" s="55"/>
      <c r="M1047" s="55"/>
      <c r="N1047" s="55"/>
      <c r="O1047" s="55"/>
      <c r="P1047" s="55"/>
      <c r="Q1047" s="55"/>
      <c r="R1047" s="55"/>
      <c r="S1047" s="55"/>
      <c r="T1047" s="55"/>
      <c r="U1047" s="55"/>
      <c r="V1047" s="55"/>
      <c r="W1047" s="55"/>
      <c r="X1047" s="55"/>
      <c r="Y1047" s="55"/>
      <c r="Z1047" s="55"/>
      <c r="AA1047" s="55"/>
      <c r="AB1047" s="55"/>
      <c r="AC1047" s="55"/>
      <c r="AD1047" s="55"/>
      <c r="AE1047" s="55"/>
      <c r="AF1047" s="55"/>
      <c r="AG1047" s="55"/>
      <c r="AH1047" s="55"/>
      <c r="AI1047" s="55"/>
      <c r="AJ1047" s="55"/>
      <c r="AK1047" s="55"/>
      <c r="AL1047" s="55"/>
      <c r="AM1047" s="55"/>
      <c r="AN1047" s="55"/>
      <c r="AO1047" s="55"/>
      <c r="AP1047" s="55"/>
      <c r="AQ1047" s="55"/>
      <c r="AR1047" s="55"/>
      <c r="AS1047" s="55"/>
      <c r="AT1047" s="55"/>
      <c r="AU1047" s="55"/>
    </row>
    <row r="1048" spans="1:47" ht="15.75" customHeight="1">
      <c r="A1048" s="60">
        <v>44830</v>
      </c>
      <c r="B1048" s="89" t="s">
        <v>1341</v>
      </c>
      <c r="C1048" s="62" t="s">
        <v>14</v>
      </c>
      <c r="D1048" s="46" t="s">
        <v>237</v>
      </c>
      <c r="E1048" s="70">
        <v>156696.82</v>
      </c>
      <c r="F1048" s="46" t="s">
        <v>1342</v>
      </c>
      <c r="G1048" s="56" t="s">
        <v>11</v>
      </c>
      <c r="H1048" s="56" t="s">
        <v>17</v>
      </c>
      <c r="I1048" s="56" t="s">
        <v>369</v>
      </c>
      <c r="J1048" s="56">
        <v>44461</v>
      </c>
      <c r="K1048" s="56" t="s">
        <v>301</v>
      </c>
      <c r="L1048" s="55"/>
      <c r="M1048" s="55"/>
      <c r="N1048" s="55"/>
      <c r="O1048" s="55"/>
      <c r="P1048" s="55"/>
      <c r="Q1048" s="55"/>
      <c r="R1048" s="55"/>
      <c r="S1048" s="55"/>
      <c r="T1048" s="55"/>
      <c r="U1048" s="55"/>
      <c r="V1048" s="55"/>
      <c r="W1048" s="55"/>
      <c r="X1048" s="55"/>
      <c r="Y1048" s="55"/>
      <c r="Z1048" s="55"/>
      <c r="AA1048" s="55"/>
      <c r="AB1048" s="55"/>
      <c r="AC1048" s="55"/>
      <c r="AD1048" s="55"/>
      <c r="AE1048" s="55"/>
      <c r="AF1048" s="55"/>
      <c r="AG1048" s="55"/>
      <c r="AH1048" s="55"/>
      <c r="AI1048" s="55"/>
      <c r="AJ1048" s="55"/>
      <c r="AK1048" s="55"/>
      <c r="AL1048" s="55"/>
      <c r="AM1048" s="55"/>
      <c r="AN1048" s="55"/>
      <c r="AO1048" s="55"/>
      <c r="AP1048" s="55"/>
      <c r="AQ1048" s="55"/>
      <c r="AR1048" s="55"/>
      <c r="AS1048" s="55"/>
      <c r="AT1048" s="55"/>
      <c r="AU1048" s="55"/>
    </row>
    <row r="1049" spans="1:47" ht="15.75" customHeight="1">
      <c r="A1049" s="60">
        <v>44837</v>
      </c>
      <c r="B1049" s="89" t="s">
        <v>1343</v>
      </c>
      <c r="C1049" s="62" t="s">
        <v>14</v>
      </c>
      <c r="D1049" s="46" t="s">
        <v>861</v>
      </c>
      <c r="E1049" s="70">
        <v>4800</v>
      </c>
      <c r="F1049" s="46" t="s">
        <v>46</v>
      </c>
      <c r="G1049" s="56" t="s">
        <v>11</v>
      </c>
      <c r="H1049" s="56" t="s">
        <v>12</v>
      </c>
      <c r="I1049" s="56" t="s">
        <v>16</v>
      </c>
      <c r="J1049" s="56">
        <v>44819</v>
      </c>
      <c r="K1049" s="56" t="s">
        <v>302</v>
      </c>
      <c r="L1049" s="55"/>
      <c r="M1049" s="55"/>
      <c r="N1049" s="55"/>
      <c r="O1049" s="55"/>
      <c r="P1049" s="55"/>
      <c r="Q1049" s="55"/>
      <c r="R1049" s="55"/>
      <c r="S1049" s="55"/>
      <c r="T1049" s="55"/>
      <c r="U1049" s="55"/>
      <c r="V1049" s="55"/>
      <c r="W1049" s="55"/>
      <c r="X1049" s="55"/>
      <c r="Y1049" s="55"/>
      <c r="Z1049" s="55"/>
      <c r="AA1049" s="55"/>
      <c r="AB1049" s="55"/>
      <c r="AC1049" s="55"/>
      <c r="AD1049" s="55"/>
      <c r="AE1049" s="55"/>
      <c r="AF1049" s="55"/>
      <c r="AG1049" s="55"/>
      <c r="AH1049" s="55"/>
      <c r="AI1049" s="55"/>
      <c r="AJ1049" s="55"/>
      <c r="AK1049" s="55"/>
      <c r="AL1049" s="55"/>
      <c r="AM1049" s="55"/>
      <c r="AN1049" s="55"/>
      <c r="AO1049" s="55"/>
      <c r="AP1049" s="55"/>
      <c r="AQ1049" s="55"/>
      <c r="AR1049" s="55"/>
      <c r="AS1049" s="55"/>
      <c r="AT1049" s="55"/>
      <c r="AU1049" s="55"/>
    </row>
    <row r="1050" spans="1:47" ht="15.75" customHeight="1">
      <c r="A1050" s="60">
        <v>44837</v>
      </c>
      <c r="B1050" s="89" t="s">
        <v>1343</v>
      </c>
      <c r="C1050" s="62" t="s">
        <v>14</v>
      </c>
      <c r="D1050" s="46" t="s">
        <v>861</v>
      </c>
      <c r="E1050" s="70">
        <v>7477.76</v>
      </c>
      <c r="F1050" s="46" t="s">
        <v>46</v>
      </c>
      <c r="G1050" s="56" t="s">
        <v>11</v>
      </c>
      <c r="H1050" s="56" t="s">
        <v>12</v>
      </c>
      <c r="I1050" s="56" t="s">
        <v>16</v>
      </c>
      <c r="J1050" s="56">
        <v>44819</v>
      </c>
      <c r="K1050" s="56" t="s">
        <v>302</v>
      </c>
      <c r="L1050" s="55"/>
      <c r="M1050" s="55"/>
      <c r="N1050" s="55"/>
      <c r="O1050" s="55"/>
      <c r="P1050" s="55"/>
      <c r="Q1050" s="55"/>
      <c r="R1050" s="55"/>
      <c r="S1050" s="55"/>
      <c r="T1050" s="55"/>
      <c r="U1050" s="55"/>
      <c r="V1050" s="55"/>
      <c r="W1050" s="55"/>
      <c r="X1050" s="55"/>
      <c r="Y1050" s="55"/>
      <c r="Z1050" s="55"/>
      <c r="AA1050" s="55"/>
      <c r="AB1050" s="55"/>
      <c r="AC1050" s="55"/>
      <c r="AD1050" s="55"/>
      <c r="AE1050" s="55"/>
      <c r="AF1050" s="55"/>
      <c r="AG1050" s="55"/>
      <c r="AH1050" s="55"/>
      <c r="AI1050" s="55"/>
      <c r="AJ1050" s="55"/>
      <c r="AK1050" s="55"/>
      <c r="AL1050" s="55"/>
      <c r="AM1050" s="55"/>
      <c r="AN1050" s="55"/>
      <c r="AO1050" s="55"/>
      <c r="AP1050" s="55"/>
      <c r="AQ1050" s="55"/>
      <c r="AR1050" s="55"/>
      <c r="AS1050" s="55"/>
      <c r="AT1050" s="55"/>
      <c r="AU1050" s="55"/>
    </row>
    <row r="1051" spans="1:47" ht="15.75" customHeight="1">
      <c r="A1051" s="60">
        <v>44837</v>
      </c>
      <c r="B1051" s="89" t="s">
        <v>1344</v>
      </c>
      <c r="C1051" s="62" t="s">
        <v>14</v>
      </c>
      <c r="D1051" s="46" t="s">
        <v>861</v>
      </c>
      <c r="E1051" s="70">
        <v>199998</v>
      </c>
      <c r="F1051" s="46" t="s">
        <v>443</v>
      </c>
      <c r="G1051" s="56" t="s">
        <v>11</v>
      </c>
      <c r="H1051" s="56" t="s">
        <v>17</v>
      </c>
      <c r="I1051" s="56" t="s">
        <v>35</v>
      </c>
      <c r="J1051" s="56">
        <v>44739</v>
      </c>
      <c r="K1051" s="56" t="s">
        <v>301</v>
      </c>
      <c r="L1051" s="55"/>
      <c r="M1051" s="55"/>
      <c r="N1051" s="55"/>
      <c r="O1051" s="55"/>
      <c r="P1051" s="55"/>
      <c r="Q1051" s="55"/>
      <c r="R1051" s="55"/>
      <c r="S1051" s="55"/>
      <c r="T1051" s="55"/>
      <c r="U1051" s="55"/>
      <c r="V1051" s="55"/>
      <c r="W1051" s="55"/>
      <c r="X1051" s="55"/>
      <c r="Y1051" s="55"/>
      <c r="Z1051" s="55"/>
      <c r="AA1051" s="55"/>
      <c r="AB1051" s="55"/>
      <c r="AC1051" s="55"/>
      <c r="AD1051" s="55"/>
      <c r="AE1051" s="55"/>
      <c r="AF1051" s="55"/>
      <c r="AG1051" s="55"/>
      <c r="AH1051" s="55"/>
      <c r="AI1051" s="55"/>
      <c r="AJ1051" s="55"/>
      <c r="AK1051" s="55"/>
      <c r="AL1051" s="55"/>
      <c r="AM1051" s="55"/>
      <c r="AN1051" s="55"/>
      <c r="AO1051" s="55"/>
      <c r="AP1051" s="55"/>
      <c r="AQ1051" s="55"/>
      <c r="AR1051" s="55"/>
      <c r="AS1051" s="55"/>
      <c r="AT1051" s="55"/>
      <c r="AU1051" s="55"/>
    </row>
    <row r="1052" spans="1:47" ht="15.75" customHeight="1">
      <c r="A1052" s="60">
        <v>44838</v>
      </c>
      <c r="B1052" s="89" t="s">
        <v>1345</v>
      </c>
      <c r="C1052" s="62" t="s">
        <v>14</v>
      </c>
      <c r="D1052" s="46" t="s">
        <v>237</v>
      </c>
      <c r="E1052" s="70">
        <v>104271.35</v>
      </c>
      <c r="F1052" s="46" t="s">
        <v>324</v>
      </c>
      <c r="G1052" s="56" t="s">
        <v>11</v>
      </c>
      <c r="H1052" s="56" t="s">
        <v>17</v>
      </c>
      <c r="I1052" s="56" t="s">
        <v>35</v>
      </c>
      <c r="J1052" s="56">
        <v>44460</v>
      </c>
      <c r="K1052" s="56" t="s">
        <v>325</v>
      </c>
      <c r="L1052" s="55"/>
      <c r="M1052" s="55"/>
      <c r="N1052" s="55"/>
      <c r="O1052" s="55"/>
      <c r="P1052" s="55"/>
      <c r="Q1052" s="55"/>
      <c r="R1052" s="55"/>
      <c r="S1052" s="55"/>
      <c r="T1052" s="55"/>
      <c r="U1052" s="55"/>
      <c r="V1052" s="55"/>
      <c r="W1052" s="55"/>
      <c r="X1052" s="55"/>
      <c r="Y1052" s="55"/>
      <c r="Z1052" s="55"/>
      <c r="AA1052" s="55"/>
      <c r="AB1052" s="55"/>
      <c r="AC1052" s="55"/>
      <c r="AD1052" s="55"/>
      <c r="AE1052" s="55"/>
      <c r="AF1052" s="55"/>
      <c r="AG1052" s="55"/>
      <c r="AH1052" s="55"/>
      <c r="AI1052" s="55"/>
      <c r="AJ1052" s="55"/>
      <c r="AK1052" s="55"/>
      <c r="AL1052" s="55"/>
      <c r="AM1052" s="55"/>
      <c r="AN1052" s="55"/>
      <c r="AO1052" s="55"/>
      <c r="AP1052" s="55"/>
      <c r="AQ1052" s="55"/>
      <c r="AR1052" s="55"/>
      <c r="AS1052" s="55"/>
      <c r="AT1052" s="55"/>
      <c r="AU1052" s="55"/>
    </row>
    <row r="1053" spans="1:47" ht="15.75" customHeight="1">
      <c r="A1053" s="60">
        <v>44839</v>
      </c>
      <c r="B1053" s="89" t="s">
        <v>1327</v>
      </c>
      <c r="C1053" s="62" t="s">
        <v>14</v>
      </c>
      <c r="D1053" s="46" t="s">
        <v>861</v>
      </c>
      <c r="E1053" s="70">
        <v>400000</v>
      </c>
      <c r="F1053" s="46" t="s">
        <v>72</v>
      </c>
      <c r="G1053" s="56" t="s">
        <v>11</v>
      </c>
      <c r="H1053" s="56" t="s">
        <v>17</v>
      </c>
      <c r="I1053" s="56" t="s">
        <v>33</v>
      </c>
      <c r="J1053" s="56">
        <v>44698</v>
      </c>
      <c r="K1053" s="56" t="s">
        <v>304</v>
      </c>
      <c r="L1053" s="55"/>
      <c r="M1053" s="55"/>
      <c r="N1053" s="55"/>
      <c r="O1053" s="55"/>
      <c r="P1053" s="55"/>
      <c r="Q1053" s="55"/>
      <c r="R1053" s="55"/>
      <c r="S1053" s="55"/>
      <c r="T1053" s="55"/>
      <c r="U1053" s="55"/>
      <c r="V1053" s="55"/>
      <c r="W1053" s="55"/>
      <c r="X1053" s="55"/>
      <c r="Y1053" s="55"/>
      <c r="Z1053" s="55"/>
      <c r="AA1053" s="55"/>
      <c r="AB1053" s="55"/>
      <c r="AC1053" s="55"/>
      <c r="AD1053" s="55"/>
      <c r="AE1053" s="55"/>
      <c r="AF1053" s="55"/>
      <c r="AG1053" s="55"/>
      <c r="AH1053" s="55"/>
      <c r="AI1053" s="55"/>
      <c r="AJ1053" s="55"/>
      <c r="AK1053" s="55"/>
      <c r="AL1053" s="55"/>
      <c r="AM1053" s="55"/>
      <c r="AN1053" s="55"/>
      <c r="AO1053" s="55"/>
      <c r="AP1053" s="55"/>
      <c r="AQ1053" s="55"/>
      <c r="AR1053" s="55"/>
      <c r="AS1053" s="55"/>
      <c r="AT1053" s="55"/>
      <c r="AU1053" s="55"/>
    </row>
    <row r="1054" spans="1:47" ht="15.75" customHeight="1">
      <c r="A1054" s="60">
        <v>44839</v>
      </c>
      <c r="B1054" s="89" t="s">
        <v>932</v>
      </c>
      <c r="C1054" s="62" t="s">
        <v>14</v>
      </c>
      <c r="D1054" s="46" t="s">
        <v>861</v>
      </c>
      <c r="E1054" s="70">
        <v>10000</v>
      </c>
      <c r="F1054" s="46" t="s">
        <v>415</v>
      </c>
      <c r="G1054" s="56" t="s">
        <v>24</v>
      </c>
      <c r="H1054" s="56" t="s">
        <v>12</v>
      </c>
      <c r="I1054" s="56" t="s">
        <v>316</v>
      </c>
      <c r="J1054" s="56">
        <v>44263</v>
      </c>
      <c r="K1054" s="56" t="s">
        <v>298</v>
      </c>
      <c r="L1054" s="55"/>
      <c r="M1054" s="55"/>
      <c r="N1054" s="55"/>
      <c r="O1054" s="55"/>
      <c r="P1054" s="55"/>
      <c r="Q1054" s="55"/>
      <c r="R1054" s="55"/>
      <c r="S1054" s="55"/>
      <c r="T1054" s="55"/>
      <c r="U1054" s="55"/>
      <c r="V1054" s="55"/>
      <c r="W1054" s="55"/>
      <c r="X1054" s="55"/>
      <c r="Y1054" s="55"/>
      <c r="Z1054" s="55"/>
      <c r="AA1054" s="55"/>
      <c r="AB1054" s="55"/>
      <c r="AC1054" s="55"/>
      <c r="AD1054" s="55"/>
      <c r="AE1054" s="55"/>
      <c r="AF1054" s="55"/>
      <c r="AG1054" s="55"/>
      <c r="AH1054" s="55"/>
      <c r="AI1054" s="55"/>
      <c r="AJ1054" s="55"/>
      <c r="AK1054" s="55"/>
      <c r="AL1054" s="55"/>
      <c r="AM1054" s="55"/>
      <c r="AN1054" s="55"/>
      <c r="AO1054" s="55"/>
      <c r="AP1054" s="55"/>
      <c r="AQ1054" s="55"/>
      <c r="AR1054" s="55"/>
      <c r="AS1054" s="55"/>
      <c r="AT1054" s="55"/>
      <c r="AU1054" s="55"/>
    </row>
    <row r="1055" spans="1:47" ht="15.75" customHeight="1">
      <c r="A1055" s="60">
        <v>44844</v>
      </c>
      <c r="B1055" s="89" t="s">
        <v>1183</v>
      </c>
      <c r="C1055" s="62" t="s">
        <v>14</v>
      </c>
      <c r="D1055" s="46" t="s">
        <v>861</v>
      </c>
      <c r="E1055" s="70">
        <v>30000</v>
      </c>
      <c r="F1055" s="46" t="s">
        <v>69</v>
      </c>
      <c r="G1055" s="56" t="s">
        <v>11</v>
      </c>
      <c r="H1055" s="56" t="s">
        <v>12</v>
      </c>
      <c r="I1055" s="56" t="s">
        <v>851</v>
      </c>
      <c r="J1055" s="56">
        <v>44594</v>
      </c>
      <c r="K1055" s="56" t="s">
        <v>301</v>
      </c>
      <c r="L1055" s="55"/>
      <c r="M1055" s="55"/>
      <c r="N1055" s="55"/>
      <c r="O1055" s="55"/>
      <c r="P1055" s="55"/>
      <c r="Q1055" s="55"/>
      <c r="R1055" s="55"/>
      <c r="S1055" s="55"/>
      <c r="T1055" s="55"/>
      <c r="U1055" s="55"/>
      <c r="V1055" s="55"/>
      <c r="W1055" s="55"/>
      <c r="X1055" s="55"/>
      <c r="Y1055" s="55"/>
      <c r="Z1055" s="55"/>
      <c r="AA1055" s="55"/>
      <c r="AB1055" s="55"/>
      <c r="AC1055" s="55"/>
      <c r="AD1055" s="55"/>
      <c r="AE1055" s="55"/>
      <c r="AF1055" s="55"/>
      <c r="AG1055" s="55"/>
      <c r="AH1055" s="55"/>
      <c r="AI1055" s="55"/>
      <c r="AJ1055" s="55"/>
      <c r="AK1055" s="55"/>
      <c r="AL1055" s="55"/>
      <c r="AM1055" s="55"/>
      <c r="AN1055" s="55"/>
      <c r="AO1055" s="55"/>
      <c r="AP1055" s="55"/>
      <c r="AQ1055" s="55"/>
      <c r="AR1055" s="55"/>
      <c r="AS1055" s="55"/>
      <c r="AT1055" s="55"/>
      <c r="AU1055" s="55"/>
    </row>
    <row r="1056" spans="1:47" ht="15.75" customHeight="1">
      <c r="A1056" s="60">
        <v>44845</v>
      </c>
      <c r="B1056" s="89" t="s">
        <v>1346</v>
      </c>
      <c r="C1056" s="62" t="s">
        <v>14</v>
      </c>
      <c r="D1056" s="46" t="s">
        <v>861</v>
      </c>
      <c r="E1056" s="70">
        <v>10000</v>
      </c>
      <c r="F1056" s="46" t="s">
        <v>327</v>
      </c>
      <c r="G1056" s="56" t="s">
        <v>24</v>
      </c>
      <c r="H1056" s="56" t="s">
        <v>12</v>
      </c>
      <c r="I1056" s="56" t="s">
        <v>128</v>
      </c>
      <c r="J1056" s="56">
        <v>44217</v>
      </c>
      <c r="K1056" s="56" t="s">
        <v>298</v>
      </c>
      <c r="L1056" s="55"/>
      <c r="M1056" s="55"/>
      <c r="N1056" s="55"/>
      <c r="O1056" s="55"/>
      <c r="P1056" s="55"/>
      <c r="Q1056" s="55"/>
      <c r="R1056" s="55"/>
      <c r="S1056" s="55"/>
      <c r="T1056" s="55"/>
      <c r="U1056" s="55"/>
      <c r="V1056" s="55"/>
      <c r="W1056" s="55"/>
      <c r="X1056" s="55"/>
      <c r="Y1056" s="55"/>
      <c r="Z1056" s="55"/>
      <c r="AA1056" s="55"/>
      <c r="AB1056" s="55"/>
      <c r="AC1056" s="55"/>
      <c r="AD1056" s="55"/>
      <c r="AE1056" s="55"/>
      <c r="AF1056" s="55"/>
      <c r="AG1056" s="55"/>
      <c r="AH1056" s="55"/>
      <c r="AI1056" s="55"/>
      <c r="AJ1056" s="55"/>
      <c r="AK1056" s="55"/>
      <c r="AL1056" s="55"/>
      <c r="AM1056" s="55"/>
      <c r="AN1056" s="55"/>
      <c r="AO1056" s="55"/>
      <c r="AP1056" s="55"/>
      <c r="AQ1056" s="55"/>
      <c r="AR1056" s="55"/>
      <c r="AS1056" s="55"/>
      <c r="AT1056" s="55"/>
      <c r="AU1056" s="55"/>
    </row>
    <row r="1057" spans="1:47" ht="15.75" customHeight="1">
      <c r="A1057" s="60">
        <v>44845</v>
      </c>
      <c r="B1057" s="89" t="s">
        <v>1347</v>
      </c>
      <c r="C1057" s="62" t="s">
        <v>14</v>
      </c>
      <c r="D1057" s="46" t="s">
        <v>861</v>
      </c>
      <c r="E1057" s="70">
        <v>2000</v>
      </c>
      <c r="F1057" s="46" t="s">
        <v>50</v>
      </c>
      <c r="G1057" s="56" t="s">
        <v>24</v>
      </c>
      <c r="H1057" s="56" t="s">
        <v>12</v>
      </c>
      <c r="I1057" s="56" t="s">
        <v>803</v>
      </c>
      <c r="J1057" s="56">
        <v>44421</v>
      </c>
      <c r="K1057" s="56" t="s">
        <v>298</v>
      </c>
      <c r="L1057" s="55"/>
      <c r="M1057" s="55"/>
      <c r="N1057" s="55"/>
      <c r="O1057" s="55"/>
      <c r="P1057" s="55"/>
      <c r="Q1057" s="55"/>
      <c r="R1057" s="55"/>
      <c r="S1057" s="55"/>
      <c r="T1057" s="55"/>
      <c r="U1057" s="55"/>
      <c r="V1057" s="55"/>
      <c r="W1057" s="55"/>
      <c r="X1057" s="55"/>
      <c r="Y1057" s="55"/>
      <c r="Z1057" s="55"/>
      <c r="AA1057" s="55"/>
      <c r="AB1057" s="55"/>
      <c r="AC1057" s="55"/>
      <c r="AD1057" s="55"/>
      <c r="AE1057" s="55"/>
      <c r="AF1057" s="55"/>
      <c r="AG1057" s="55"/>
      <c r="AH1057" s="55"/>
      <c r="AI1057" s="55"/>
      <c r="AJ1057" s="55"/>
      <c r="AK1057" s="55"/>
      <c r="AL1057" s="55"/>
      <c r="AM1057" s="55"/>
      <c r="AN1057" s="55"/>
      <c r="AO1057" s="55"/>
      <c r="AP1057" s="55"/>
      <c r="AQ1057" s="55"/>
      <c r="AR1057" s="55"/>
      <c r="AS1057" s="55"/>
      <c r="AT1057" s="55"/>
      <c r="AU1057" s="55"/>
    </row>
    <row r="1058" spans="1:47" ht="15.75" customHeight="1">
      <c r="A1058" s="60">
        <v>44847</v>
      </c>
      <c r="B1058" s="89" t="s">
        <v>1327</v>
      </c>
      <c r="C1058" s="62" t="s">
        <v>14</v>
      </c>
      <c r="D1058" s="46" t="s">
        <v>861</v>
      </c>
      <c r="E1058" s="70">
        <v>122000</v>
      </c>
      <c r="F1058" s="46" t="s">
        <v>486</v>
      </c>
      <c r="G1058" s="56" t="s">
        <v>11</v>
      </c>
      <c r="H1058" s="56" t="s">
        <v>17</v>
      </c>
      <c r="I1058" s="56" t="s">
        <v>33</v>
      </c>
      <c r="J1058" s="56">
        <v>44698</v>
      </c>
      <c r="K1058" s="56" t="s">
        <v>304</v>
      </c>
      <c r="L1058" s="55"/>
      <c r="M1058" s="55"/>
      <c r="N1058" s="55"/>
      <c r="O1058" s="55"/>
      <c r="P1058" s="55"/>
      <c r="Q1058" s="55"/>
      <c r="R1058" s="55"/>
      <c r="S1058" s="55"/>
      <c r="T1058" s="55"/>
      <c r="U1058" s="55"/>
      <c r="V1058" s="55"/>
      <c r="W1058" s="55"/>
      <c r="X1058" s="55"/>
      <c r="Y1058" s="55"/>
      <c r="Z1058" s="55"/>
      <c r="AA1058" s="55"/>
      <c r="AB1058" s="55"/>
      <c r="AC1058" s="55"/>
      <c r="AD1058" s="55"/>
      <c r="AE1058" s="55"/>
      <c r="AF1058" s="55"/>
      <c r="AG1058" s="55"/>
      <c r="AH1058" s="55"/>
      <c r="AI1058" s="55"/>
      <c r="AJ1058" s="55"/>
      <c r="AK1058" s="55"/>
      <c r="AL1058" s="55"/>
      <c r="AM1058" s="55"/>
      <c r="AN1058" s="55"/>
      <c r="AO1058" s="55"/>
      <c r="AP1058" s="55"/>
      <c r="AQ1058" s="55"/>
      <c r="AR1058" s="55"/>
      <c r="AS1058" s="55"/>
      <c r="AT1058" s="55"/>
      <c r="AU1058" s="55"/>
    </row>
    <row r="1059" spans="1:47" ht="15.75" customHeight="1">
      <c r="A1059" s="60">
        <v>44848</v>
      </c>
      <c r="B1059" s="89" t="s">
        <v>1327</v>
      </c>
      <c r="C1059" s="62" t="s">
        <v>14</v>
      </c>
      <c r="D1059" s="46" t="s">
        <v>861</v>
      </c>
      <c r="E1059" s="70">
        <v>13000</v>
      </c>
      <c r="F1059" s="46" t="s">
        <v>486</v>
      </c>
      <c r="G1059" s="56" t="s">
        <v>11</v>
      </c>
      <c r="H1059" s="56" t="s">
        <v>17</v>
      </c>
      <c r="I1059" s="56" t="s">
        <v>33</v>
      </c>
      <c r="J1059" s="56">
        <v>44698</v>
      </c>
      <c r="K1059" s="56" t="s">
        <v>304</v>
      </c>
      <c r="L1059" s="55"/>
      <c r="M1059" s="55"/>
      <c r="N1059" s="55"/>
      <c r="O1059" s="55"/>
      <c r="P1059" s="55"/>
      <c r="Q1059" s="55"/>
      <c r="R1059" s="55"/>
      <c r="S1059" s="55"/>
      <c r="T1059" s="55"/>
      <c r="U1059" s="55"/>
      <c r="V1059" s="55"/>
      <c r="W1059" s="55"/>
      <c r="X1059" s="55"/>
      <c r="Y1059" s="55"/>
      <c r="Z1059" s="55"/>
      <c r="AA1059" s="55"/>
      <c r="AB1059" s="55"/>
      <c r="AC1059" s="55"/>
      <c r="AD1059" s="55"/>
      <c r="AE1059" s="55"/>
      <c r="AF1059" s="55"/>
      <c r="AG1059" s="55"/>
      <c r="AH1059" s="55"/>
      <c r="AI1059" s="55"/>
      <c r="AJ1059" s="55"/>
      <c r="AK1059" s="55"/>
      <c r="AL1059" s="55"/>
      <c r="AM1059" s="55"/>
      <c r="AN1059" s="55"/>
      <c r="AO1059" s="55"/>
      <c r="AP1059" s="55"/>
      <c r="AQ1059" s="55"/>
      <c r="AR1059" s="55"/>
      <c r="AS1059" s="55"/>
      <c r="AT1059" s="55"/>
      <c r="AU1059" s="55"/>
    </row>
    <row r="1060" spans="1:47" ht="15.75" customHeight="1">
      <c r="A1060" s="60">
        <v>44848</v>
      </c>
      <c r="B1060" s="89" t="s">
        <v>1172</v>
      </c>
      <c r="C1060" s="62" t="s">
        <v>14</v>
      </c>
      <c r="D1060" s="46" t="s">
        <v>861</v>
      </c>
      <c r="E1060" s="70">
        <v>25000</v>
      </c>
      <c r="F1060" s="46" t="s">
        <v>333</v>
      </c>
      <c r="G1060" s="56" t="s">
        <v>11</v>
      </c>
      <c r="H1060" s="56" t="s">
        <v>12</v>
      </c>
      <c r="I1060" s="56" t="s">
        <v>334</v>
      </c>
      <c r="J1060" s="56">
        <v>44061</v>
      </c>
      <c r="K1060" s="56" t="s">
        <v>298</v>
      </c>
      <c r="L1060" s="55"/>
      <c r="M1060" s="55"/>
      <c r="N1060" s="55"/>
      <c r="O1060" s="55"/>
      <c r="P1060" s="55"/>
      <c r="Q1060" s="55"/>
      <c r="R1060" s="55"/>
      <c r="S1060" s="55"/>
      <c r="T1060" s="55"/>
      <c r="U1060" s="55"/>
      <c r="V1060" s="55"/>
      <c r="W1060" s="55"/>
      <c r="X1060" s="55"/>
      <c r="Y1060" s="55"/>
      <c r="Z1060" s="55"/>
      <c r="AA1060" s="55"/>
      <c r="AB1060" s="55"/>
      <c r="AC1060" s="55"/>
      <c r="AD1060" s="55"/>
      <c r="AE1060" s="55"/>
      <c r="AF1060" s="55"/>
      <c r="AG1060" s="55"/>
      <c r="AH1060" s="55"/>
      <c r="AI1060" s="55"/>
      <c r="AJ1060" s="55"/>
      <c r="AK1060" s="55"/>
      <c r="AL1060" s="55"/>
      <c r="AM1060" s="55"/>
      <c r="AN1060" s="55"/>
      <c r="AO1060" s="55"/>
      <c r="AP1060" s="55"/>
      <c r="AQ1060" s="55"/>
      <c r="AR1060" s="55"/>
      <c r="AS1060" s="55"/>
      <c r="AT1060" s="55"/>
      <c r="AU1060" s="55"/>
    </row>
    <row r="1061" spans="1:47" ht="15.75" customHeight="1">
      <c r="A1061" s="56">
        <v>44851</v>
      </c>
      <c r="B1061" s="57" t="s">
        <v>1226</v>
      </c>
      <c r="C1061" s="12" t="s">
        <v>14</v>
      </c>
      <c r="D1061" s="46" t="s">
        <v>861</v>
      </c>
      <c r="E1061" s="58">
        <v>50000</v>
      </c>
      <c r="F1061" s="12" t="s">
        <v>77</v>
      </c>
      <c r="G1061" s="46" t="s">
        <v>11</v>
      </c>
      <c r="H1061" s="46" t="s">
        <v>17</v>
      </c>
      <c r="I1061" s="46" t="s">
        <v>26</v>
      </c>
      <c r="J1061" s="56">
        <v>44614</v>
      </c>
      <c r="K1061" s="39" t="s">
        <v>298</v>
      </c>
      <c r="L1061" s="55"/>
      <c r="M1061" s="55"/>
      <c r="N1061" s="55"/>
      <c r="O1061" s="55"/>
      <c r="P1061" s="55"/>
      <c r="Q1061" s="55"/>
      <c r="R1061" s="55"/>
      <c r="S1061" s="55"/>
      <c r="T1061" s="55"/>
      <c r="U1061" s="55"/>
      <c r="V1061" s="55"/>
      <c r="W1061" s="55"/>
      <c r="X1061" s="55"/>
      <c r="Y1061" s="55"/>
      <c r="Z1061" s="55"/>
      <c r="AA1061" s="55"/>
      <c r="AB1061" s="55"/>
      <c r="AC1061" s="55"/>
      <c r="AD1061" s="55"/>
      <c r="AE1061" s="55"/>
      <c r="AF1061" s="55"/>
      <c r="AG1061" s="55"/>
      <c r="AH1061" s="55"/>
      <c r="AI1061" s="55"/>
      <c r="AJ1061" s="55"/>
      <c r="AK1061" s="55"/>
      <c r="AL1061" s="55"/>
      <c r="AM1061" s="55"/>
      <c r="AN1061" s="55"/>
      <c r="AO1061" s="55"/>
      <c r="AP1061" s="55"/>
      <c r="AQ1061" s="55"/>
      <c r="AR1061" s="55"/>
      <c r="AS1061" s="55"/>
      <c r="AT1061" s="55"/>
      <c r="AU1061" s="55"/>
    </row>
    <row r="1062" spans="1:47" ht="15.75" customHeight="1">
      <c r="A1062" s="81">
        <v>44852</v>
      </c>
      <c r="B1062" s="69" t="s">
        <v>1192</v>
      </c>
      <c r="C1062" s="12" t="s">
        <v>14</v>
      </c>
      <c r="D1062" s="82" t="s">
        <v>861</v>
      </c>
      <c r="E1062" s="83">
        <v>18000</v>
      </c>
      <c r="F1062" s="82" t="s">
        <v>308</v>
      </c>
      <c r="G1062" s="82" t="s">
        <v>11</v>
      </c>
      <c r="H1062" s="82" t="s">
        <v>17</v>
      </c>
      <c r="I1062" s="82" t="s">
        <v>26</v>
      </c>
      <c r="J1062" s="81">
        <v>44609</v>
      </c>
      <c r="K1062" s="12" t="s">
        <v>302</v>
      </c>
      <c r="L1062" s="55"/>
      <c r="M1062" s="55"/>
      <c r="N1062" s="55"/>
      <c r="O1062" s="55"/>
      <c r="P1062" s="55"/>
      <c r="Q1062" s="55"/>
      <c r="R1062" s="55"/>
      <c r="S1062" s="55"/>
      <c r="T1062" s="55"/>
      <c r="U1062" s="55"/>
      <c r="V1062" s="55"/>
      <c r="W1062" s="55"/>
      <c r="X1062" s="55"/>
      <c r="Y1062" s="55"/>
      <c r="Z1062" s="55"/>
      <c r="AA1062" s="55"/>
      <c r="AB1062" s="55"/>
      <c r="AC1062" s="55"/>
      <c r="AD1062" s="55"/>
      <c r="AE1062" s="55"/>
      <c r="AF1062" s="55"/>
      <c r="AG1062" s="55"/>
      <c r="AH1062" s="55"/>
      <c r="AI1062" s="55"/>
      <c r="AJ1062" s="55"/>
      <c r="AK1062" s="55"/>
      <c r="AL1062" s="55"/>
      <c r="AM1062" s="55"/>
      <c r="AN1062" s="55"/>
      <c r="AO1062" s="55"/>
      <c r="AP1062" s="55"/>
      <c r="AQ1062" s="55"/>
      <c r="AR1062" s="55"/>
      <c r="AS1062" s="55"/>
      <c r="AT1062" s="55"/>
      <c r="AU1062" s="55"/>
    </row>
    <row r="1063" spans="1:47" ht="15.75" customHeight="1">
      <c r="A1063" s="81">
        <v>44853</v>
      </c>
      <c r="B1063" s="69" t="s">
        <v>1348</v>
      </c>
      <c r="C1063" s="12" t="s">
        <v>14</v>
      </c>
      <c r="D1063" s="82" t="s">
        <v>861</v>
      </c>
      <c r="E1063" s="83">
        <v>50000</v>
      </c>
      <c r="F1063" s="82" t="s">
        <v>1349</v>
      </c>
      <c r="G1063" s="82" t="s">
        <v>11</v>
      </c>
      <c r="H1063" s="82" t="s">
        <v>12</v>
      </c>
      <c r="I1063" s="82" t="s">
        <v>42</v>
      </c>
      <c r="J1063" s="81">
        <v>44831</v>
      </c>
      <c r="K1063" s="56" t="s">
        <v>295</v>
      </c>
      <c r="L1063" s="55"/>
      <c r="M1063" s="55"/>
      <c r="N1063" s="55"/>
      <c r="O1063" s="55"/>
      <c r="P1063" s="55"/>
      <c r="Q1063" s="55"/>
      <c r="R1063" s="55"/>
      <c r="S1063" s="55"/>
      <c r="T1063" s="55"/>
      <c r="U1063" s="55"/>
      <c r="V1063" s="55"/>
      <c r="W1063" s="55"/>
      <c r="X1063" s="55"/>
      <c r="Y1063" s="55"/>
      <c r="Z1063" s="55"/>
      <c r="AA1063" s="55"/>
      <c r="AB1063" s="55"/>
      <c r="AC1063" s="55"/>
      <c r="AD1063" s="55"/>
      <c r="AE1063" s="55"/>
      <c r="AF1063" s="55"/>
      <c r="AG1063" s="55"/>
      <c r="AH1063" s="55"/>
      <c r="AI1063" s="55"/>
      <c r="AJ1063" s="55"/>
      <c r="AK1063" s="55"/>
      <c r="AL1063" s="55"/>
      <c r="AM1063" s="55"/>
      <c r="AN1063" s="55"/>
      <c r="AO1063" s="55"/>
      <c r="AP1063" s="55"/>
      <c r="AQ1063" s="55"/>
      <c r="AR1063" s="55"/>
      <c r="AS1063" s="55"/>
      <c r="AT1063" s="55"/>
      <c r="AU1063" s="55"/>
    </row>
    <row r="1064" spans="1:47" ht="15.75" customHeight="1">
      <c r="A1064" s="56">
        <v>44855</v>
      </c>
      <c r="B1064" s="57" t="s">
        <v>1350</v>
      </c>
      <c r="C1064" s="46" t="s">
        <v>14</v>
      </c>
      <c r="D1064" s="46" t="s">
        <v>861</v>
      </c>
      <c r="E1064" s="83">
        <v>10000</v>
      </c>
      <c r="F1064" s="82" t="s">
        <v>67</v>
      </c>
      <c r="G1064" s="46" t="s">
        <v>11</v>
      </c>
      <c r="H1064" s="46" t="s">
        <v>17</v>
      </c>
      <c r="I1064" s="46" t="s">
        <v>1321</v>
      </c>
      <c r="J1064" s="56">
        <v>44733</v>
      </c>
      <c r="K1064" s="46" t="s">
        <v>302</v>
      </c>
      <c r="L1064" s="55"/>
      <c r="M1064" s="55"/>
      <c r="N1064" s="55"/>
      <c r="O1064" s="55"/>
      <c r="P1064" s="55"/>
      <c r="Q1064" s="55"/>
      <c r="R1064" s="55"/>
      <c r="S1064" s="55"/>
      <c r="T1064" s="55"/>
      <c r="U1064" s="55"/>
      <c r="V1064" s="55"/>
      <c r="W1064" s="55"/>
      <c r="X1064" s="55"/>
      <c r="Y1064" s="55"/>
      <c r="Z1064" s="55"/>
      <c r="AA1064" s="55"/>
      <c r="AB1064" s="55"/>
      <c r="AC1064" s="55"/>
      <c r="AD1064" s="55"/>
      <c r="AE1064" s="55"/>
      <c r="AF1064" s="55"/>
      <c r="AG1064" s="55"/>
      <c r="AH1064" s="55"/>
      <c r="AI1064" s="55"/>
      <c r="AJ1064" s="55"/>
      <c r="AK1064" s="55"/>
      <c r="AL1064" s="55"/>
      <c r="AM1064" s="55"/>
      <c r="AN1064" s="55"/>
      <c r="AO1064" s="55"/>
      <c r="AP1064" s="55"/>
      <c r="AQ1064" s="55"/>
      <c r="AR1064" s="55"/>
      <c r="AS1064" s="55"/>
      <c r="AT1064" s="55"/>
      <c r="AU1064" s="55"/>
    </row>
    <row r="1065" spans="1:47" ht="15.75" customHeight="1">
      <c r="A1065" s="81">
        <v>44860</v>
      </c>
      <c r="B1065" s="69" t="s">
        <v>1192</v>
      </c>
      <c r="C1065" s="12" t="s">
        <v>14</v>
      </c>
      <c r="D1065" s="82" t="s">
        <v>861</v>
      </c>
      <c r="E1065" s="83">
        <v>20000</v>
      </c>
      <c r="F1065" s="82" t="s">
        <v>308</v>
      </c>
      <c r="G1065" s="82" t="s">
        <v>11</v>
      </c>
      <c r="H1065" s="82" t="s">
        <v>17</v>
      </c>
      <c r="I1065" s="82" t="s">
        <v>26</v>
      </c>
      <c r="J1065" s="81">
        <v>44609</v>
      </c>
      <c r="K1065" s="12" t="s">
        <v>302</v>
      </c>
      <c r="L1065" s="55"/>
      <c r="M1065" s="55"/>
      <c r="N1065" s="55"/>
      <c r="O1065" s="55"/>
      <c r="P1065" s="55"/>
      <c r="Q1065" s="55"/>
      <c r="R1065" s="55"/>
      <c r="S1065" s="55"/>
      <c r="T1065" s="55"/>
      <c r="U1065" s="55"/>
      <c r="V1065" s="55"/>
      <c r="W1065" s="55"/>
      <c r="X1065" s="55"/>
      <c r="Y1065" s="55"/>
      <c r="Z1065" s="55"/>
      <c r="AA1065" s="55"/>
      <c r="AB1065" s="55"/>
      <c r="AC1065" s="55"/>
      <c r="AD1065" s="55"/>
      <c r="AE1065" s="55"/>
      <c r="AF1065" s="55"/>
      <c r="AG1065" s="55"/>
      <c r="AH1065" s="55"/>
      <c r="AI1065" s="55"/>
      <c r="AJ1065" s="55"/>
      <c r="AK1065" s="55"/>
      <c r="AL1065" s="55"/>
      <c r="AM1065" s="55"/>
      <c r="AN1065" s="55"/>
      <c r="AO1065" s="55"/>
      <c r="AP1065" s="55"/>
      <c r="AQ1065" s="55"/>
      <c r="AR1065" s="55"/>
      <c r="AS1065" s="55"/>
      <c r="AT1065" s="55"/>
      <c r="AU1065" s="55"/>
    </row>
    <row r="1066" spans="1:47" ht="15.75" customHeight="1">
      <c r="A1066" s="56">
        <v>44861</v>
      </c>
      <c r="B1066" s="12">
        <v>5681841</v>
      </c>
      <c r="C1066" s="12" t="s">
        <v>14</v>
      </c>
      <c r="D1066" s="46" t="s">
        <v>861</v>
      </c>
      <c r="E1066" s="58">
        <v>50000</v>
      </c>
      <c r="F1066" s="37" t="s">
        <v>548</v>
      </c>
      <c r="G1066" s="37" t="s">
        <v>11</v>
      </c>
      <c r="H1066" s="46" t="s">
        <v>17</v>
      </c>
      <c r="I1066" s="46" t="s">
        <v>28</v>
      </c>
      <c r="J1066" s="56">
        <v>44469</v>
      </c>
      <c r="K1066" s="39" t="s">
        <v>302</v>
      </c>
      <c r="L1066" s="55"/>
      <c r="M1066" s="55"/>
      <c r="N1066" s="55"/>
      <c r="O1066" s="55"/>
      <c r="P1066" s="55"/>
      <c r="Q1066" s="55"/>
      <c r="R1066" s="55"/>
      <c r="S1066" s="55"/>
      <c r="T1066" s="55"/>
      <c r="U1066" s="55"/>
      <c r="V1066" s="55"/>
      <c r="W1066" s="55"/>
      <c r="X1066" s="55"/>
      <c r="Y1066" s="55"/>
      <c r="Z1066" s="55"/>
      <c r="AA1066" s="55"/>
      <c r="AB1066" s="55"/>
      <c r="AC1066" s="55"/>
      <c r="AD1066" s="55"/>
      <c r="AE1066" s="55"/>
      <c r="AF1066" s="55"/>
      <c r="AG1066" s="55"/>
      <c r="AH1066" s="55"/>
      <c r="AI1066" s="55"/>
      <c r="AJ1066" s="55"/>
      <c r="AK1066" s="55"/>
      <c r="AL1066" s="55"/>
      <c r="AM1066" s="55"/>
      <c r="AN1066" s="55"/>
      <c r="AO1066" s="55"/>
      <c r="AP1066" s="55"/>
      <c r="AQ1066" s="55"/>
      <c r="AR1066" s="55"/>
      <c r="AS1066" s="55"/>
      <c r="AT1066" s="55"/>
      <c r="AU1066" s="55"/>
    </row>
    <row r="1067" spans="1:47" ht="15.75" customHeight="1">
      <c r="A1067" s="56">
        <v>44865</v>
      </c>
      <c r="B1067" s="57" t="s">
        <v>1351</v>
      </c>
      <c r="C1067" s="46" t="s">
        <v>14</v>
      </c>
      <c r="D1067" s="46" t="s">
        <v>861</v>
      </c>
      <c r="E1067" s="58">
        <v>10000</v>
      </c>
      <c r="F1067" s="46" t="s">
        <v>401</v>
      </c>
      <c r="G1067" s="46" t="s">
        <v>11</v>
      </c>
      <c r="H1067" s="46" t="s">
        <v>76</v>
      </c>
      <c r="I1067" s="46" t="s">
        <v>402</v>
      </c>
      <c r="J1067" s="56">
        <v>44260</v>
      </c>
      <c r="K1067" s="46" t="s">
        <v>304</v>
      </c>
      <c r="L1067" s="55"/>
      <c r="M1067" s="55"/>
      <c r="N1067" s="55"/>
      <c r="O1067" s="55"/>
      <c r="P1067" s="55"/>
      <c r="Q1067" s="55"/>
      <c r="R1067" s="55"/>
      <c r="S1067" s="55"/>
      <c r="T1067" s="55"/>
      <c r="U1067" s="55"/>
      <c r="V1067" s="55"/>
      <c r="W1067" s="55"/>
      <c r="X1067" s="55"/>
      <c r="Y1067" s="55"/>
      <c r="Z1067" s="55"/>
      <c r="AA1067" s="55"/>
      <c r="AB1067" s="55"/>
      <c r="AC1067" s="55"/>
      <c r="AD1067" s="55"/>
      <c r="AE1067" s="55"/>
      <c r="AF1067" s="55"/>
      <c r="AG1067" s="55"/>
      <c r="AH1067" s="55"/>
      <c r="AI1067" s="55"/>
      <c r="AJ1067" s="55"/>
      <c r="AK1067" s="55"/>
      <c r="AL1067" s="55"/>
      <c r="AM1067" s="55"/>
      <c r="AN1067" s="55"/>
      <c r="AO1067" s="55"/>
      <c r="AP1067" s="55"/>
      <c r="AQ1067" s="55"/>
      <c r="AR1067" s="55"/>
      <c r="AS1067" s="55"/>
      <c r="AT1067" s="55"/>
      <c r="AU1067" s="55"/>
    </row>
    <row r="1068" spans="1:47" ht="15.75" customHeight="1">
      <c r="A1068" s="56">
        <v>44865</v>
      </c>
      <c r="B1068" s="57" t="s">
        <v>1352</v>
      </c>
      <c r="C1068" s="46" t="s">
        <v>14</v>
      </c>
      <c r="D1068" s="46" t="s">
        <v>861</v>
      </c>
      <c r="E1068" s="58">
        <v>4000</v>
      </c>
      <c r="F1068" s="46" t="s">
        <v>491</v>
      </c>
      <c r="G1068" s="46" t="s">
        <v>11</v>
      </c>
      <c r="H1068" s="46" t="s">
        <v>12</v>
      </c>
      <c r="I1068" s="46" t="s">
        <v>28</v>
      </c>
      <c r="J1068" s="56">
        <v>44749</v>
      </c>
      <c r="K1068" s="46" t="s">
        <v>301</v>
      </c>
      <c r="L1068" s="55"/>
      <c r="M1068" s="55"/>
      <c r="N1068" s="55"/>
      <c r="O1068" s="55"/>
      <c r="P1068" s="55"/>
      <c r="Q1068" s="55"/>
      <c r="R1068" s="55"/>
      <c r="S1068" s="55"/>
      <c r="T1068" s="55"/>
      <c r="U1068" s="55"/>
      <c r="V1068" s="55"/>
      <c r="W1068" s="55"/>
      <c r="X1068" s="55"/>
      <c r="Y1068" s="55"/>
      <c r="Z1068" s="55"/>
      <c r="AA1068" s="55"/>
      <c r="AB1068" s="55"/>
      <c r="AC1068" s="55"/>
      <c r="AD1068" s="55"/>
      <c r="AE1068" s="55"/>
      <c r="AF1068" s="55"/>
      <c r="AG1068" s="55"/>
      <c r="AH1068" s="55"/>
      <c r="AI1068" s="55"/>
      <c r="AJ1068" s="55"/>
      <c r="AK1068" s="55"/>
      <c r="AL1068" s="55"/>
      <c r="AM1068" s="55"/>
      <c r="AN1068" s="55"/>
      <c r="AO1068" s="55"/>
      <c r="AP1068" s="55"/>
      <c r="AQ1068" s="55"/>
      <c r="AR1068" s="55"/>
      <c r="AS1068" s="55"/>
      <c r="AT1068" s="55"/>
      <c r="AU1068" s="55"/>
    </row>
    <row r="1069" spans="1:47" ht="15.75" customHeight="1">
      <c r="A1069" s="81">
        <v>44865</v>
      </c>
      <c r="B1069" s="69" t="s">
        <v>1280</v>
      </c>
      <c r="C1069" s="12" t="s">
        <v>14</v>
      </c>
      <c r="D1069" s="82" t="s">
        <v>861</v>
      </c>
      <c r="E1069" s="83">
        <v>30000</v>
      </c>
      <c r="F1069" s="82" t="s">
        <v>68</v>
      </c>
      <c r="G1069" s="82" t="s">
        <v>11</v>
      </c>
      <c r="H1069" s="82" t="s">
        <v>17</v>
      </c>
      <c r="I1069" s="82" t="s">
        <v>28</v>
      </c>
      <c r="J1069" s="81">
        <v>44568</v>
      </c>
      <c r="K1069" s="12" t="s">
        <v>432</v>
      </c>
      <c r="L1069" s="55"/>
      <c r="M1069" s="55"/>
      <c r="N1069" s="55"/>
      <c r="O1069" s="55"/>
      <c r="P1069" s="55"/>
      <c r="Q1069" s="55"/>
      <c r="R1069" s="55"/>
      <c r="S1069" s="55"/>
      <c r="T1069" s="55"/>
      <c r="U1069" s="55"/>
      <c r="V1069" s="55"/>
      <c r="W1069" s="55"/>
      <c r="X1069" s="55"/>
      <c r="Y1069" s="55"/>
      <c r="Z1069" s="55"/>
      <c r="AA1069" s="55"/>
      <c r="AB1069" s="55"/>
      <c r="AC1069" s="55"/>
      <c r="AD1069" s="55"/>
      <c r="AE1069" s="55"/>
      <c r="AF1069" s="55"/>
      <c r="AG1069" s="55"/>
      <c r="AH1069" s="55"/>
      <c r="AI1069" s="55"/>
      <c r="AJ1069" s="55"/>
      <c r="AK1069" s="55"/>
      <c r="AL1069" s="55"/>
      <c r="AM1069" s="55"/>
      <c r="AN1069" s="55"/>
      <c r="AO1069" s="55"/>
      <c r="AP1069" s="55"/>
      <c r="AQ1069" s="55"/>
      <c r="AR1069" s="55"/>
      <c r="AS1069" s="55"/>
      <c r="AT1069" s="55"/>
      <c r="AU1069" s="55"/>
    </row>
    <row r="1070" spans="1:47" ht="15.75" customHeight="1">
      <c r="A1070" s="56">
        <v>44866</v>
      </c>
      <c r="B1070" s="82">
        <v>6986262</v>
      </c>
      <c r="C1070" s="46" t="s">
        <v>14</v>
      </c>
      <c r="D1070" s="46" t="s">
        <v>861</v>
      </c>
      <c r="E1070" s="58">
        <v>500</v>
      </c>
      <c r="F1070" s="46" t="s">
        <v>398</v>
      </c>
      <c r="G1070" s="37" t="s">
        <v>11</v>
      </c>
      <c r="H1070" s="46" t="s">
        <v>17</v>
      </c>
      <c r="I1070" s="46" t="s">
        <v>369</v>
      </c>
      <c r="J1070" s="56">
        <v>44503</v>
      </c>
      <c r="K1070" s="12" t="s">
        <v>309</v>
      </c>
      <c r="L1070" s="55"/>
      <c r="M1070" s="55"/>
      <c r="N1070" s="55"/>
      <c r="O1070" s="55"/>
      <c r="P1070" s="55"/>
      <c r="Q1070" s="55"/>
      <c r="R1070" s="55"/>
      <c r="S1070" s="55"/>
      <c r="T1070" s="55"/>
      <c r="U1070" s="55"/>
      <c r="V1070" s="55"/>
      <c r="W1070" s="55"/>
      <c r="X1070" s="55"/>
      <c r="Y1070" s="55"/>
      <c r="Z1070" s="55"/>
      <c r="AA1070" s="55"/>
      <c r="AB1070" s="55"/>
      <c r="AC1070" s="55"/>
      <c r="AD1070" s="55"/>
      <c r="AE1070" s="55"/>
      <c r="AF1070" s="55"/>
      <c r="AG1070" s="55"/>
      <c r="AH1070" s="55"/>
      <c r="AI1070" s="55"/>
      <c r="AJ1070" s="55"/>
      <c r="AK1070" s="55"/>
      <c r="AL1070" s="55"/>
      <c r="AM1070" s="55"/>
      <c r="AN1070" s="55"/>
      <c r="AO1070" s="55"/>
      <c r="AP1070" s="55"/>
      <c r="AQ1070" s="55"/>
      <c r="AR1070" s="55"/>
      <c r="AS1070" s="55"/>
      <c r="AT1070" s="55"/>
      <c r="AU1070" s="55"/>
    </row>
    <row r="1071" spans="1:47" ht="15.75" customHeight="1">
      <c r="A1071" s="56">
        <v>44866</v>
      </c>
      <c r="B1071" s="57" t="s">
        <v>1353</v>
      </c>
      <c r="C1071" s="46" t="s">
        <v>14</v>
      </c>
      <c r="D1071" s="46" t="s">
        <v>861</v>
      </c>
      <c r="E1071" s="58">
        <v>15000</v>
      </c>
      <c r="F1071" s="46" t="s">
        <v>315</v>
      </c>
      <c r="G1071" s="46" t="s">
        <v>24</v>
      </c>
      <c r="H1071" s="46" t="s">
        <v>12</v>
      </c>
      <c r="I1071" s="46" t="s">
        <v>556</v>
      </c>
      <c r="J1071" s="56">
        <v>44085</v>
      </c>
      <c r="K1071" s="46" t="s">
        <v>298</v>
      </c>
      <c r="L1071" s="55"/>
      <c r="M1071" s="55"/>
      <c r="N1071" s="55"/>
      <c r="O1071" s="55"/>
      <c r="P1071" s="55"/>
      <c r="Q1071" s="55"/>
      <c r="R1071" s="55"/>
      <c r="S1071" s="55"/>
      <c r="T1071" s="55"/>
      <c r="U1071" s="55"/>
      <c r="V1071" s="55"/>
      <c r="W1071" s="55"/>
      <c r="X1071" s="55"/>
      <c r="Y1071" s="55"/>
      <c r="Z1071" s="55"/>
      <c r="AA1071" s="55"/>
      <c r="AB1071" s="55"/>
      <c r="AC1071" s="55"/>
      <c r="AD1071" s="55"/>
      <c r="AE1071" s="55"/>
      <c r="AF1071" s="55"/>
      <c r="AG1071" s="55"/>
      <c r="AH1071" s="55"/>
      <c r="AI1071" s="55"/>
      <c r="AJ1071" s="55"/>
      <c r="AK1071" s="55"/>
      <c r="AL1071" s="55"/>
      <c r="AM1071" s="55"/>
      <c r="AN1071" s="55"/>
      <c r="AO1071" s="55"/>
      <c r="AP1071" s="55"/>
      <c r="AQ1071" s="55"/>
      <c r="AR1071" s="55"/>
      <c r="AS1071" s="55"/>
      <c r="AT1071" s="55"/>
      <c r="AU1071" s="55"/>
    </row>
    <row r="1072" spans="1:47" ht="15.75" customHeight="1">
      <c r="A1072" s="56">
        <v>44868</v>
      </c>
      <c r="B1072" s="57" t="s">
        <v>1343</v>
      </c>
      <c r="C1072" s="46" t="s">
        <v>14</v>
      </c>
      <c r="D1072" s="46" t="s">
        <v>861</v>
      </c>
      <c r="E1072" s="58">
        <v>4500</v>
      </c>
      <c r="F1072" s="46" t="s">
        <v>46</v>
      </c>
      <c r="G1072" s="46" t="s">
        <v>11</v>
      </c>
      <c r="H1072" s="46" t="s">
        <v>12</v>
      </c>
      <c r="I1072" s="46" t="s">
        <v>16</v>
      </c>
      <c r="J1072" s="56">
        <v>44819</v>
      </c>
      <c r="K1072" s="46" t="s">
        <v>302</v>
      </c>
      <c r="L1072" s="55"/>
      <c r="M1072" s="55"/>
      <c r="N1072" s="55"/>
      <c r="O1072" s="55"/>
      <c r="P1072" s="55"/>
      <c r="Q1072" s="55"/>
      <c r="R1072" s="55"/>
      <c r="S1072" s="55"/>
      <c r="T1072" s="55"/>
      <c r="U1072" s="55"/>
      <c r="V1072" s="55"/>
      <c r="W1072" s="55"/>
      <c r="X1072" s="55"/>
      <c r="Y1072" s="55"/>
      <c r="Z1072" s="55"/>
      <c r="AA1072" s="55"/>
      <c r="AB1072" s="55"/>
      <c r="AC1072" s="55"/>
      <c r="AD1072" s="55"/>
      <c r="AE1072" s="55"/>
      <c r="AF1072" s="55"/>
      <c r="AG1072" s="55"/>
      <c r="AH1072" s="55"/>
      <c r="AI1072" s="55"/>
      <c r="AJ1072" s="55"/>
      <c r="AK1072" s="55"/>
      <c r="AL1072" s="55"/>
      <c r="AM1072" s="55"/>
      <c r="AN1072" s="55"/>
      <c r="AO1072" s="55"/>
      <c r="AP1072" s="55"/>
      <c r="AQ1072" s="55"/>
      <c r="AR1072" s="55"/>
      <c r="AS1072" s="55"/>
      <c r="AT1072" s="55"/>
      <c r="AU1072" s="55"/>
    </row>
    <row r="1073" spans="1:47" ht="15.75" customHeight="1">
      <c r="A1073" s="56">
        <v>44872</v>
      </c>
      <c r="B1073" s="57" t="s">
        <v>1352</v>
      </c>
      <c r="C1073" s="46" t="s">
        <v>14</v>
      </c>
      <c r="D1073" s="46" t="s">
        <v>861</v>
      </c>
      <c r="E1073" s="58">
        <v>6500</v>
      </c>
      <c r="F1073" s="46" t="s">
        <v>491</v>
      </c>
      <c r="G1073" s="46" t="s">
        <v>11</v>
      </c>
      <c r="H1073" s="46" t="s">
        <v>12</v>
      </c>
      <c r="I1073" s="46" t="s">
        <v>28</v>
      </c>
      <c r="J1073" s="56">
        <v>44749</v>
      </c>
      <c r="K1073" s="46" t="s">
        <v>301</v>
      </c>
      <c r="L1073" s="55"/>
      <c r="M1073" s="55"/>
      <c r="N1073" s="55"/>
      <c r="O1073" s="55"/>
      <c r="P1073" s="55"/>
      <c r="Q1073" s="55"/>
      <c r="R1073" s="55"/>
      <c r="S1073" s="55"/>
      <c r="T1073" s="55"/>
      <c r="U1073" s="55"/>
      <c r="V1073" s="55"/>
      <c r="W1073" s="55"/>
      <c r="X1073" s="55"/>
      <c r="Y1073" s="55"/>
      <c r="Z1073" s="55"/>
      <c r="AA1073" s="55"/>
      <c r="AB1073" s="55"/>
      <c r="AC1073" s="55"/>
      <c r="AD1073" s="55"/>
      <c r="AE1073" s="55"/>
      <c r="AF1073" s="55"/>
      <c r="AG1073" s="55"/>
      <c r="AH1073" s="55"/>
      <c r="AI1073" s="55"/>
      <c r="AJ1073" s="55"/>
      <c r="AK1073" s="55"/>
      <c r="AL1073" s="55"/>
      <c r="AM1073" s="55"/>
      <c r="AN1073" s="55"/>
      <c r="AO1073" s="55"/>
      <c r="AP1073" s="55"/>
      <c r="AQ1073" s="55"/>
      <c r="AR1073" s="55"/>
      <c r="AS1073" s="55"/>
      <c r="AT1073" s="55"/>
      <c r="AU1073" s="55"/>
    </row>
    <row r="1074" spans="1:47" ht="15.75" customHeight="1">
      <c r="A1074" s="56">
        <v>44873</v>
      </c>
      <c r="B1074" s="57" t="s">
        <v>1354</v>
      </c>
      <c r="C1074" s="46" t="s">
        <v>14</v>
      </c>
      <c r="D1074" s="46" t="s">
        <v>861</v>
      </c>
      <c r="E1074" s="58">
        <v>100000</v>
      </c>
      <c r="F1074" s="46" t="s">
        <v>468</v>
      </c>
      <c r="G1074" s="46" t="s">
        <v>11</v>
      </c>
      <c r="H1074" s="46" t="s">
        <v>17</v>
      </c>
      <c r="I1074" s="46" t="s">
        <v>33</v>
      </c>
      <c r="J1074" s="56">
        <v>44790</v>
      </c>
      <c r="K1074" s="46" t="s">
        <v>302</v>
      </c>
      <c r="L1074" s="55"/>
      <c r="M1074" s="55"/>
      <c r="N1074" s="55"/>
      <c r="O1074" s="55"/>
      <c r="P1074" s="55"/>
      <c r="Q1074" s="55"/>
      <c r="R1074" s="55"/>
      <c r="S1074" s="55"/>
      <c r="T1074" s="55"/>
      <c r="U1074" s="55"/>
      <c r="V1074" s="55"/>
      <c r="W1074" s="55"/>
      <c r="X1074" s="55"/>
      <c r="Y1074" s="55"/>
      <c r="Z1074" s="55"/>
      <c r="AA1074" s="55"/>
      <c r="AB1074" s="55"/>
      <c r="AC1074" s="55"/>
      <c r="AD1074" s="55"/>
      <c r="AE1074" s="55"/>
      <c r="AF1074" s="55"/>
      <c r="AG1074" s="55"/>
      <c r="AH1074" s="55"/>
      <c r="AI1074" s="55"/>
      <c r="AJ1074" s="55"/>
      <c r="AK1074" s="55"/>
      <c r="AL1074" s="55"/>
      <c r="AM1074" s="55"/>
      <c r="AN1074" s="55"/>
      <c r="AO1074" s="55"/>
      <c r="AP1074" s="55"/>
      <c r="AQ1074" s="55"/>
      <c r="AR1074" s="55"/>
      <c r="AS1074" s="55"/>
      <c r="AT1074" s="55"/>
      <c r="AU1074" s="55"/>
    </row>
    <row r="1075" spans="1:47" ht="15.75" customHeight="1">
      <c r="A1075" s="56">
        <v>44873</v>
      </c>
      <c r="B1075" s="82" t="s">
        <v>1183</v>
      </c>
      <c r="C1075" s="46" t="s">
        <v>14</v>
      </c>
      <c r="D1075" s="46" t="s">
        <v>861</v>
      </c>
      <c r="E1075" s="58">
        <v>30000</v>
      </c>
      <c r="F1075" s="46" t="s">
        <v>69</v>
      </c>
      <c r="G1075" s="37" t="s">
        <v>11</v>
      </c>
      <c r="H1075" s="37" t="s">
        <v>12</v>
      </c>
      <c r="I1075" s="37" t="s">
        <v>1184</v>
      </c>
      <c r="J1075" s="80">
        <v>44594</v>
      </c>
      <c r="K1075" s="46" t="s">
        <v>301</v>
      </c>
      <c r="L1075" s="55"/>
      <c r="M1075" s="55"/>
      <c r="N1075" s="55"/>
      <c r="O1075" s="55"/>
      <c r="P1075" s="55"/>
      <c r="Q1075" s="55"/>
      <c r="R1075" s="55"/>
      <c r="S1075" s="55"/>
      <c r="T1075" s="55"/>
      <c r="U1075" s="55"/>
      <c r="V1075" s="55"/>
      <c r="W1075" s="55"/>
      <c r="X1075" s="55"/>
      <c r="Y1075" s="55"/>
      <c r="Z1075" s="55"/>
      <c r="AA1075" s="55"/>
      <c r="AB1075" s="55"/>
      <c r="AC1075" s="55"/>
      <c r="AD1075" s="55"/>
      <c r="AE1075" s="55"/>
      <c r="AF1075" s="55"/>
      <c r="AG1075" s="55"/>
      <c r="AH1075" s="55"/>
      <c r="AI1075" s="55"/>
      <c r="AJ1075" s="55"/>
      <c r="AK1075" s="55"/>
      <c r="AL1075" s="55"/>
      <c r="AM1075" s="55"/>
      <c r="AN1075" s="55"/>
      <c r="AO1075" s="55"/>
      <c r="AP1075" s="55"/>
      <c r="AQ1075" s="55"/>
      <c r="AR1075" s="55"/>
      <c r="AS1075" s="55"/>
      <c r="AT1075" s="55"/>
      <c r="AU1075" s="55"/>
    </row>
    <row r="1076" spans="1:47" ht="15.75" customHeight="1">
      <c r="A1076" s="56">
        <v>44874</v>
      </c>
      <c r="B1076" s="57" t="s">
        <v>1350</v>
      </c>
      <c r="C1076" s="46" t="s">
        <v>14</v>
      </c>
      <c r="D1076" s="46" t="s">
        <v>861</v>
      </c>
      <c r="E1076" s="58">
        <v>1000</v>
      </c>
      <c r="F1076" s="46" t="s">
        <v>1355</v>
      </c>
      <c r="G1076" s="46" t="s">
        <v>11</v>
      </c>
      <c r="H1076" s="46" t="s">
        <v>17</v>
      </c>
      <c r="I1076" s="46" t="s">
        <v>1321</v>
      </c>
      <c r="J1076" s="56">
        <v>44733</v>
      </c>
      <c r="K1076" s="46" t="s">
        <v>302</v>
      </c>
      <c r="L1076" s="55"/>
      <c r="M1076" s="55"/>
      <c r="N1076" s="55"/>
      <c r="O1076" s="55"/>
      <c r="P1076" s="55"/>
      <c r="Q1076" s="55"/>
      <c r="R1076" s="55"/>
      <c r="S1076" s="55"/>
      <c r="T1076" s="55"/>
      <c r="U1076" s="55"/>
      <c r="V1076" s="55"/>
      <c r="W1076" s="55"/>
      <c r="X1076" s="55"/>
      <c r="Y1076" s="55"/>
      <c r="Z1076" s="55"/>
      <c r="AA1076" s="55"/>
      <c r="AB1076" s="55"/>
      <c r="AC1076" s="55"/>
      <c r="AD1076" s="55"/>
      <c r="AE1076" s="55"/>
      <c r="AF1076" s="55"/>
      <c r="AG1076" s="55"/>
      <c r="AH1076" s="55"/>
      <c r="AI1076" s="55"/>
      <c r="AJ1076" s="55"/>
      <c r="AK1076" s="55"/>
      <c r="AL1076" s="55"/>
      <c r="AM1076" s="55"/>
      <c r="AN1076" s="55"/>
      <c r="AO1076" s="55"/>
      <c r="AP1076" s="55"/>
      <c r="AQ1076" s="55"/>
      <c r="AR1076" s="55"/>
      <c r="AS1076" s="55"/>
      <c r="AT1076" s="55"/>
      <c r="AU1076" s="55"/>
    </row>
    <row r="1077" spans="1:47" ht="15.75" customHeight="1">
      <c r="A1077" s="56">
        <v>44874</v>
      </c>
      <c r="B1077" s="57" t="s">
        <v>1356</v>
      </c>
      <c r="C1077" s="46" t="s">
        <v>14</v>
      </c>
      <c r="D1077" s="46" t="s">
        <v>861</v>
      </c>
      <c r="E1077" s="58">
        <v>60000</v>
      </c>
      <c r="F1077" s="46" t="s">
        <v>89</v>
      </c>
      <c r="G1077" s="46" t="s">
        <v>11</v>
      </c>
      <c r="H1077" s="46" t="s">
        <v>12</v>
      </c>
      <c r="I1077" s="46" t="s">
        <v>18</v>
      </c>
      <c r="J1077" s="56">
        <v>44802</v>
      </c>
      <c r="K1077" s="46" t="s">
        <v>301</v>
      </c>
      <c r="L1077" s="55"/>
      <c r="M1077" s="55"/>
      <c r="N1077" s="55"/>
      <c r="O1077" s="55"/>
      <c r="P1077" s="55"/>
      <c r="Q1077" s="55"/>
      <c r="R1077" s="55"/>
      <c r="S1077" s="55"/>
      <c r="T1077" s="55"/>
      <c r="U1077" s="55"/>
      <c r="V1077" s="55"/>
      <c r="W1077" s="55"/>
      <c r="X1077" s="55"/>
      <c r="Y1077" s="55"/>
      <c r="Z1077" s="55"/>
      <c r="AA1077" s="55"/>
      <c r="AB1077" s="55"/>
      <c r="AC1077" s="55"/>
      <c r="AD1077" s="55"/>
      <c r="AE1077" s="55"/>
      <c r="AF1077" s="55"/>
      <c r="AG1077" s="55"/>
      <c r="AH1077" s="55"/>
      <c r="AI1077" s="55"/>
      <c r="AJ1077" s="55"/>
      <c r="AK1077" s="55"/>
      <c r="AL1077" s="55"/>
      <c r="AM1077" s="55"/>
      <c r="AN1077" s="55"/>
      <c r="AO1077" s="55"/>
      <c r="AP1077" s="55"/>
      <c r="AQ1077" s="55"/>
      <c r="AR1077" s="55"/>
      <c r="AS1077" s="55"/>
      <c r="AT1077" s="55"/>
      <c r="AU1077" s="55"/>
    </row>
    <row r="1078" spans="1:47" ht="15.75" customHeight="1">
      <c r="A1078" s="56">
        <v>44874</v>
      </c>
      <c r="B1078" s="57" t="s">
        <v>1295</v>
      </c>
      <c r="C1078" s="46" t="s">
        <v>14</v>
      </c>
      <c r="D1078" s="46" t="s">
        <v>861</v>
      </c>
      <c r="E1078" s="58">
        <v>8000</v>
      </c>
      <c r="F1078" s="46" t="s">
        <v>463</v>
      </c>
      <c r="G1078" s="46" t="s">
        <v>11</v>
      </c>
      <c r="H1078" s="46" t="s">
        <v>12</v>
      </c>
      <c r="I1078" s="46" t="s">
        <v>125</v>
      </c>
      <c r="J1078" s="56">
        <v>44393</v>
      </c>
      <c r="K1078" s="46" t="s">
        <v>295</v>
      </c>
      <c r="L1078" s="55"/>
      <c r="M1078" s="55"/>
      <c r="N1078" s="55"/>
      <c r="O1078" s="55"/>
      <c r="P1078" s="55"/>
      <c r="Q1078" s="55"/>
      <c r="R1078" s="55"/>
      <c r="S1078" s="55"/>
      <c r="T1078" s="55"/>
      <c r="U1078" s="55"/>
      <c r="V1078" s="55"/>
      <c r="W1078" s="55"/>
      <c r="X1078" s="55"/>
      <c r="Y1078" s="55"/>
      <c r="Z1078" s="55"/>
      <c r="AA1078" s="55"/>
      <c r="AB1078" s="55"/>
      <c r="AC1078" s="55"/>
      <c r="AD1078" s="55"/>
      <c r="AE1078" s="55"/>
      <c r="AF1078" s="55"/>
      <c r="AG1078" s="55"/>
      <c r="AH1078" s="55"/>
      <c r="AI1078" s="55"/>
      <c r="AJ1078" s="55"/>
      <c r="AK1078" s="55"/>
      <c r="AL1078" s="55"/>
      <c r="AM1078" s="55"/>
      <c r="AN1078" s="55"/>
      <c r="AO1078" s="55"/>
      <c r="AP1078" s="55"/>
      <c r="AQ1078" s="55"/>
      <c r="AR1078" s="55"/>
      <c r="AS1078" s="55"/>
      <c r="AT1078" s="55"/>
      <c r="AU1078" s="55"/>
    </row>
    <row r="1079" spans="1:47" ht="15.75" customHeight="1">
      <c r="A1079" s="56">
        <v>44875</v>
      </c>
      <c r="B1079" s="57" t="s">
        <v>1357</v>
      </c>
      <c r="C1079" s="46" t="s">
        <v>14</v>
      </c>
      <c r="D1079" s="46" t="s">
        <v>861</v>
      </c>
      <c r="E1079" s="58">
        <v>6000</v>
      </c>
      <c r="F1079" s="46" t="s">
        <v>37</v>
      </c>
      <c r="G1079" s="46" t="s">
        <v>11</v>
      </c>
      <c r="H1079" s="46" t="s">
        <v>17</v>
      </c>
      <c r="I1079" s="46" t="s">
        <v>28</v>
      </c>
      <c r="J1079" s="56">
        <v>44767</v>
      </c>
      <c r="K1079" s="46" t="s">
        <v>301</v>
      </c>
      <c r="L1079" s="55"/>
      <c r="M1079" s="55"/>
      <c r="N1079" s="55"/>
      <c r="O1079" s="55"/>
      <c r="P1079" s="55"/>
      <c r="Q1079" s="55"/>
      <c r="R1079" s="55"/>
      <c r="S1079" s="55"/>
      <c r="T1079" s="55"/>
      <c r="U1079" s="55"/>
      <c r="V1079" s="55"/>
      <c r="W1079" s="55"/>
      <c r="X1079" s="55"/>
      <c r="Y1079" s="55"/>
      <c r="Z1079" s="55"/>
      <c r="AA1079" s="55"/>
      <c r="AB1079" s="55"/>
      <c r="AC1079" s="55"/>
      <c r="AD1079" s="55"/>
      <c r="AE1079" s="55"/>
      <c r="AF1079" s="55"/>
      <c r="AG1079" s="55"/>
      <c r="AH1079" s="55"/>
      <c r="AI1079" s="55"/>
      <c r="AJ1079" s="55"/>
      <c r="AK1079" s="55"/>
      <c r="AL1079" s="55"/>
      <c r="AM1079" s="55"/>
      <c r="AN1079" s="55"/>
      <c r="AO1079" s="55"/>
      <c r="AP1079" s="55"/>
      <c r="AQ1079" s="55"/>
      <c r="AR1079" s="55"/>
      <c r="AS1079" s="55"/>
      <c r="AT1079" s="55"/>
      <c r="AU1079" s="55"/>
    </row>
    <row r="1080" spans="1:47" ht="15.75" customHeight="1">
      <c r="A1080" s="56">
        <v>44879</v>
      </c>
      <c r="B1080" s="89" t="s">
        <v>1327</v>
      </c>
      <c r="C1080" s="62" t="s">
        <v>14</v>
      </c>
      <c r="D1080" s="46" t="s">
        <v>861</v>
      </c>
      <c r="E1080" s="70">
        <v>85000</v>
      </c>
      <c r="F1080" s="46" t="s">
        <v>486</v>
      </c>
      <c r="G1080" s="56" t="s">
        <v>11</v>
      </c>
      <c r="H1080" s="56" t="s">
        <v>17</v>
      </c>
      <c r="I1080" s="56" t="s">
        <v>33</v>
      </c>
      <c r="J1080" s="56">
        <v>44698</v>
      </c>
      <c r="K1080" s="56" t="s">
        <v>304</v>
      </c>
      <c r="L1080" s="55"/>
      <c r="M1080" s="55"/>
      <c r="N1080" s="55"/>
      <c r="O1080" s="55"/>
      <c r="P1080" s="55"/>
      <c r="Q1080" s="55"/>
      <c r="R1080" s="55"/>
      <c r="S1080" s="55"/>
      <c r="T1080" s="55"/>
      <c r="U1080" s="55"/>
      <c r="V1080" s="55"/>
      <c r="W1080" s="55"/>
      <c r="X1080" s="55"/>
      <c r="Y1080" s="55"/>
      <c r="Z1080" s="55"/>
      <c r="AA1080" s="55"/>
      <c r="AB1080" s="55"/>
      <c r="AC1080" s="55"/>
      <c r="AD1080" s="55"/>
      <c r="AE1080" s="55"/>
      <c r="AF1080" s="55"/>
      <c r="AG1080" s="55"/>
      <c r="AH1080" s="55"/>
      <c r="AI1080" s="55"/>
      <c r="AJ1080" s="55"/>
      <c r="AK1080" s="55"/>
      <c r="AL1080" s="55"/>
      <c r="AM1080" s="55"/>
      <c r="AN1080" s="55"/>
      <c r="AO1080" s="55"/>
      <c r="AP1080" s="55"/>
      <c r="AQ1080" s="55"/>
      <c r="AR1080" s="55"/>
      <c r="AS1080" s="55"/>
      <c r="AT1080" s="55"/>
      <c r="AU1080" s="55"/>
    </row>
    <row r="1081" spans="1:47" ht="15.75" customHeight="1">
      <c r="A1081" s="56">
        <v>44879</v>
      </c>
      <c r="B1081" s="12">
        <v>5681841</v>
      </c>
      <c r="C1081" s="12" t="s">
        <v>14</v>
      </c>
      <c r="D1081" s="46" t="s">
        <v>861</v>
      </c>
      <c r="E1081" s="58">
        <v>100000</v>
      </c>
      <c r="F1081" s="37" t="s">
        <v>548</v>
      </c>
      <c r="G1081" s="37" t="s">
        <v>11</v>
      </c>
      <c r="H1081" s="46" t="s">
        <v>17</v>
      </c>
      <c r="I1081" s="46" t="s">
        <v>28</v>
      </c>
      <c r="J1081" s="56">
        <v>44469</v>
      </c>
      <c r="K1081" s="39" t="s">
        <v>302</v>
      </c>
      <c r="L1081" s="55"/>
      <c r="M1081" s="55"/>
      <c r="N1081" s="55"/>
      <c r="O1081" s="55"/>
      <c r="P1081" s="55"/>
      <c r="Q1081" s="55"/>
      <c r="R1081" s="55"/>
      <c r="S1081" s="55"/>
      <c r="T1081" s="55"/>
      <c r="U1081" s="55"/>
      <c r="V1081" s="55"/>
      <c r="W1081" s="55"/>
      <c r="X1081" s="55"/>
      <c r="Y1081" s="55"/>
      <c r="Z1081" s="55"/>
      <c r="AA1081" s="55"/>
      <c r="AB1081" s="55"/>
      <c r="AC1081" s="55"/>
      <c r="AD1081" s="55"/>
      <c r="AE1081" s="55"/>
      <c r="AF1081" s="55"/>
      <c r="AG1081" s="55"/>
      <c r="AH1081" s="55"/>
      <c r="AI1081" s="55"/>
      <c r="AJ1081" s="55"/>
      <c r="AK1081" s="55"/>
      <c r="AL1081" s="55"/>
      <c r="AM1081" s="55"/>
      <c r="AN1081" s="55"/>
      <c r="AO1081" s="55"/>
      <c r="AP1081" s="55"/>
      <c r="AQ1081" s="55"/>
      <c r="AR1081" s="55"/>
      <c r="AS1081" s="55"/>
      <c r="AT1081" s="55"/>
      <c r="AU1081" s="55"/>
    </row>
    <row r="1082" spans="1:47" ht="15.75" customHeight="1">
      <c r="A1082" s="56">
        <v>44881</v>
      </c>
      <c r="B1082" s="57" t="s">
        <v>1358</v>
      </c>
      <c r="C1082" s="46" t="s">
        <v>14</v>
      </c>
      <c r="D1082" s="46" t="s">
        <v>861</v>
      </c>
      <c r="E1082" s="58">
        <v>5000</v>
      </c>
      <c r="F1082" s="46" t="s">
        <v>32</v>
      </c>
      <c r="G1082" s="46" t="s">
        <v>24</v>
      </c>
      <c r="H1082" s="46" t="s">
        <v>12</v>
      </c>
      <c r="I1082" s="46" t="s">
        <v>311</v>
      </c>
      <c r="J1082" s="56">
        <v>44231</v>
      </c>
      <c r="K1082" s="46" t="s">
        <v>304</v>
      </c>
      <c r="L1082" s="55"/>
      <c r="M1082" s="55"/>
      <c r="N1082" s="55"/>
      <c r="O1082" s="55"/>
      <c r="P1082" s="55"/>
      <c r="Q1082" s="55"/>
      <c r="R1082" s="55"/>
      <c r="S1082" s="55"/>
      <c r="T1082" s="55"/>
      <c r="U1082" s="55"/>
      <c r="V1082" s="55"/>
      <c r="W1082" s="55"/>
      <c r="X1082" s="55"/>
      <c r="Y1082" s="55"/>
      <c r="Z1082" s="55"/>
      <c r="AA1082" s="55"/>
      <c r="AB1082" s="55"/>
      <c r="AC1082" s="55"/>
      <c r="AD1082" s="55"/>
      <c r="AE1082" s="55"/>
      <c r="AF1082" s="55"/>
      <c r="AG1082" s="55"/>
      <c r="AH1082" s="55"/>
      <c r="AI1082" s="55"/>
      <c r="AJ1082" s="55"/>
      <c r="AK1082" s="55"/>
      <c r="AL1082" s="55"/>
      <c r="AM1082" s="55"/>
      <c r="AN1082" s="55"/>
      <c r="AO1082" s="55"/>
      <c r="AP1082" s="55"/>
      <c r="AQ1082" s="55"/>
      <c r="AR1082" s="55"/>
      <c r="AS1082" s="55"/>
      <c r="AT1082" s="55"/>
      <c r="AU1082" s="55"/>
    </row>
    <row r="1083" spans="1:47" ht="15.75" customHeight="1">
      <c r="A1083" s="56">
        <v>44881</v>
      </c>
      <c r="B1083" s="91" t="s">
        <v>1172</v>
      </c>
      <c r="C1083" s="62" t="s">
        <v>14</v>
      </c>
      <c r="D1083" s="46" t="s">
        <v>861</v>
      </c>
      <c r="E1083" s="70">
        <v>20000</v>
      </c>
      <c r="F1083" s="46" t="s">
        <v>333</v>
      </c>
      <c r="G1083" s="46" t="s">
        <v>11</v>
      </c>
      <c r="H1083" s="46" t="s">
        <v>12</v>
      </c>
      <c r="I1083" s="46" t="s">
        <v>334</v>
      </c>
      <c r="J1083" s="56">
        <v>44061</v>
      </c>
      <c r="K1083" s="46" t="s">
        <v>298</v>
      </c>
      <c r="L1083" s="55"/>
      <c r="M1083" s="55"/>
      <c r="N1083" s="55"/>
      <c r="O1083" s="55"/>
      <c r="P1083" s="55"/>
      <c r="Q1083" s="55"/>
      <c r="R1083" s="55"/>
      <c r="S1083" s="55"/>
      <c r="T1083" s="55"/>
      <c r="U1083" s="55"/>
      <c r="V1083" s="55"/>
      <c r="W1083" s="55"/>
      <c r="X1083" s="55"/>
      <c r="Y1083" s="55"/>
      <c r="Z1083" s="55"/>
      <c r="AA1083" s="55"/>
      <c r="AB1083" s="55"/>
      <c r="AC1083" s="55"/>
      <c r="AD1083" s="55"/>
      <c r="AE1083" s="55"/>
      <c r="AF1083" s="55"/>
      <c r="AG1083" s="55"/>
      <c r="AH1083" s="55"/>
      <c r="AI1083" s="55"/>
      <c r="AJ1083" s="55"/>
      <c r="AK1083" s="55"/>
      <c r="AL1083" s="55"/>
      <c r="AM1083" s="55"/>
      <c r="AN1083" s="55"/>
      <c r="AO1083" s="55"/>
      <c r="AP1083" s="55"/>
      <c r="AQ1083" s="55"/>
      <c r="AR1083" s="55"/>
      <c r="AS1083" s="55"/>
      <c r="AT1083" s="55"/>
      <c r="AU1083" s="55"/>
    </row>
    <row r="1084" spans="1:47" ht="15.75" customHeight="1">
      <c r="A1084" s="56">
        <v>44882</v>
      </c>
      <c r="B1084" s="57" t="s">
        <v>1359</v>
      </c>
      <c r="C1084" s="46" t="s">
        <v>14</v>
      </c>
      <c r="D1084" s="46" t="s">
        <v>861</v>
      </c>
      <c r="E1084" s="58">
        <v>10000</v>
      </c>
      <c r="F1084" s="46" t="s">
        <v>99</v>
      </c>
      <c r="G1084" s="46" t="s">
        <v>11</v>
      </c>
      <c r="H1084" s="46" t="s">
        <v>12</v>
      </c>
      <c r="I1084" s="46" t="s">
        <v>18</v>
      </c>
      <c r="J1084" s="56">
        <v>44644</v>
      </c>
      <c r="K1084" s="46" t="s">
        <v>301</v>
      </c>
      <c r="L1084" s="55"/>
      <c r="M1084" s="55"/>
      <c r="N1084" s="55"/>
      <c r="O1084" s="55"/>
      <c r="P1084" s="55"/>
      <c r="Q1084" s="55"/>
      <c r="R1084" s="55"/>
      <c r="S1084" s="55"/>
      <c r="T1084" s="55"/>
      <c r="U1084" s="55"/>
      <c r="V1084" s="55"/>
      <c r="W1084" s="55"/>
      <c r="X1084" s="55"/>
      <c r="Y1084" s="55"/>
      <c r="Z1084" s="55"/>
      <c r="AA1084" s="55"/>
      <c r="AB1084" s="55"/>
      <c r="AC1084" s="55"/>
      <c r="AD1084" s="55"/>
      <c r="AE1084" s="55"/>
      <c r="AF1084" s="55"/>
      <c r="AG1084" s="55"/>
      <c r="AH1084" s="55"/>
      <c r="AI1084" s="55"/>
      <c r="AJ1084" s="55"/>
      <c r="AK1084" s="55"/>
      <c r="AL1084" s="55"/>
      <c r="AM1084" s="55"/>
      <c r="AN1084" s="55"/>
      <c r="AO1084" s="55"/>
      <c r="AP1084" s="55"/>
      <c r="AQ1084" s="55"/>
      <c r="AR1084" s="55"/>
      <c r="AS1084" s="55"/>
      <c r="AT1084" s="55"/>
      <c r="AU1084" s="55"/>
    </row>
    <row r="1085" spans="1:47" ht="15.75" customHeight="1">
      <c r="A1085" s="56">
        <v>44887</v>
      </c>
      <c r="B1085" s="57" t="s">
        <v>1360</v>
      </c>
      <c r="C1085" s="46" t="s">
        <v>14</v>
      </c>
      <c r="D1085" s="46" t="s">
        <v>861</v>
      </c>
      <c r="E1085" s="58">
        <v>18042.73</v>
      </c>
      <c r="F1085" s="46" t="s">
        <v>449</v>
      </c>
      <c r="G1085" s="46" t="s">
        <v>11</v>
      </c>
      <c r="H1085" s="46" t="s">
        <v>17</v>
      </c>
      <c r="I1085" s="46" t="s">
        <v>75</v>
      </c>
      <c r="J1085" s="46" t="s">
        <v>198</v>
      </c>
      <c r="K1085" s="46" t="s">
        <v>301</v>
      </c>
      <c r="L1085" s="55"/>
      <c r="M1085" s="55"/>
      <c r="N1085" s="55"/>
      <c r="O1085" s="55"/>
      <c r="P1085" s="55"/>
      <c r="Q1085" s="55"/>
      <c r="R1085" s="55"/>
      <c r="S1085" s="55"/>
      <c r="T1085" s="55"/>
      <c r="U1085" s="55"/>
      <c r="V1085" s="55"/>
      <c r="W1085" s="55"/>
      <c r="X1085" s="55"/>
      <c r="Y1085" s="55"/>
      <c r="Z1085" s="55"/>
      <c r="AA1085" s="55"/>
      <c r="AB1085" s="55"/>
      <c r="AC1085" s="55"/>
      <c r="AD1085" s="55"/>
      <c r="AE1085" s="55"/>
      <c r="AF1085" s="55"/>
      <c r="AG1085" s="55"/>
      <c r="AH1085" s="55"/>
      <c r="AI1085" s="55"/>
      <c r="AJ1085" s="55"/>
      <c r="AK1085" s="55"/>
      <c r="AL1085" s="55"/>
      <c r="AM1085" s="55"/>
      <c r="AN1085" s="55"/>
      <c r="AO1085" s="55"/>
      <c r="AP1085" s="55"/>
      <c r="AQ1085" s="55"/>
      <c r="AR1085" s="55"/>
      <c r="AS1085" s="55"/>
      <c r="AT1085" s="55"/>
      <c r="AU1085" s="55"/>
    </row>
    <row r="1086" spans="1:47" ht="15.75" customHeight="1">
      <c r="A1086" s="56">
        <v>44889</v>
      </c>
      <c r="B1086" s="57" t="s">
        <v>1295</v>
      </c>
      <c r="C1086" s="46" t="s">
        <v>14</v>
      </c>
      <c r="D1086" s="46" t="s">
        <v>861</v>
      </c>
      <c r="E1086" s="58">
        <v>33000</v>
      </c>
      <c r="F1086" s="46" t="s">
        <v>463</v>
      </c>
      <c r="G1086" s="46" t="s">
        <v>11</v>
      </c>
      <c r="H1086" s="46" t="s">
        <v>12</v>
      </c>
      <c r="I1086" s="46" t="s">
        <v>125</v>
      </c>
      <c r="J1086" s="56">
        <v>44393</v>
      </c>
      <c r="K1086" s="46" t="s">
        <v>295</v>
      </c>
      <c r="L1086" s="55"/>
      <c r="M1086" s="55"/>
      <c r="N1086" s="55"/>
      <c r="O1086" s="55"/>
      <c r="P1086" s="55"/>
      <c r="Q1086" s="55"/>
      <c r="R1086" s="55"/>
      <c r="S1086" s="55"/>
      <c r="T1086" s="55"/>
      <c r="U1086" s="55"/>
      <c r="V1086" s="55"/>
      <c r="W1086" s="55"/>
      <c r="X1086" s="55"/>
      <c r="Y1086" s="55"/>
      <c r="Z1086" s="55"/>
      <c r="AA1086" s="55"/>
      <c r="AB1086" s="55"/>
      <c r="AC1086" s="55"/>
      <c r="AD1086" s="55"/>
      <c r="AE1086" s="55"/>
      <c r="AF1086" s="55"/>
      <c r="AG1086" s="55"/>
      <c r="AH1086" s="55"/>
      <c r="AI1086" s="55"/>
      <c r="AJ1086" s="55"/>
      <c r="AK1086" s="55"/>
      <c r="AL1086" s="55"/>
      <c r="AM1086" s="55"/>
      <c r="AN1086" s="55"/>
      <c r="AO1086" s="55"/>
      <c r="AP1086" s="55"/>
      <c r="AQ1086" s="55"/>
      <c r="AR1086" s="55"/>
      <c r="AS1086" s="55"/>
      <c r="AT1086" s="55"/>
      <c r="AU1086" s="55"/>
    </row>
    <row r="1087" spans="1:47" ht="15.75" customHeight="1">
      <c r="A1087" s="81">
        <v>44889</v>
      </c>
      <c r="B1087" s="69" t="s">
        <v>1192</v>
      </c>
      <c r="C1087" s="12" t="s">
        <v>14</v>
      </c>
      <c r="D1087" s="82" t="s">
        <v>861</v>
      </c>
      <c r="E1087" s="83">
        <v>7000</v>
      </c>
      <c r="F1087" s="82" t="s">
        <v>308</v>
      </c>
      <c r="G1087" s="82" t="s">
        <v>11</v>
      </c>
      <c r="H1087" s="82" t="s">
        <v>17</v>
      </c>
      <c r="I1087" s="82" t="s">
        <v>26</v>
      </c>
      <c r="J1087" s="81">
        <v>44609</v>
      </c>
      <c r="K1087" s="12" t="s">
        <v>302</v>
      </c>
      <c r="L1087" s="55"/>
      <c r="M1087" s="55"/>
      <c r="N1087" s="55"/>
      <c r="O1087" s="55"/>
      <c r="P1087" s="55"/>
      <c r="Q1087" s="55"/>
      <c r="R1087" s="55"/>
      <c r="S1087" s="55"/>
      <c r="T1087" s="55"/>
      <c r="U1087" s="55"/>
      <c r="V1087" s="55"/>
      <c r="W1087" s="55"/>
      <c r="X1087" s="55"/>
      <c r="Y1087" s="55"/>
      <c r="Z1087" s="55"/>
      <c r="AA1087" s="55"/>
      <c r="AB1087" s="55"/>
      <c r="AC1087" s="55"/>
      <c r="AD1087" s="55"/>
      <c r="AE1087" s="55"/>
      <c r="AF1087" s="55"/>
      <c r="AG1087" s="55"/>
      <c r="AH1087" s="55"/>
      <c r="AI1087" s="55"/>
      <c r="AJ1087" s="55"/>
      <c r="AK1087" s="55"/>
      <c r="AL1087" s="55"/>
      <c r="AM1087" s="55"/>
      <c r="AN1087" s="55"/>
      <c r="AO1087" s="55"/>
      <c r="AP1087" s="55"/>
      <c r="AQ1087" s="55"/>
      <c r="AR1087" s="55"/>
      <c r="AS1087" s="55"/>
      <c r="AT1087" s="55"/>
      <c r="AU1087" s="55"/>
    </row>
    <row r="1088" spans="1:47" ht="15.75" customHeight="1">
      <c r="A1088" s="81">
        <v>44889</v>
      </c>
      <c r="B1088" s="69" t="s">
        <v>1192</v>
      </c>
      <c r="C1088" s="12" t="s">
        <v>14</v>
      </c>
      <c r="D1088" s="82" t="s">
        <v>861</v>
      </c>
      <c r="E1088" s="83">
        <v>7000</v>
      </c>
      <c r="F1088" s="82" t="s">
        <v>308</v>
      </c>
      <c r="G1088" s="82" t="s">
        <v>11</v>
      </c>
      <c r="H1088" s="82" t="s">
        <v>17</v>
      </c>
      <c r="I1088" s="82" t="s">
        <v>26</v>
      </c>
      <c r="J1088" s="81">
        <v>44609</v>
      </c>
      <c r="K1088" s="12" t="s">
        <v>302</v>
      </c>
      <c r="L1088" s="55"/>
      <c r="M1088" s="55"/>
      <c r="N1088" s="55"/>
      <c r="O1088" s="55"/>
      <c r="P1088" s="55"/>
      <c r="Q1088" s="55"/>
      <c r="R1088" s="55"/>
      <c r="S1088" s="55"/>
      <c r="T1088" s="55"/>
      <c r="U1088" s="55"/>
      <c r="V1088" s="55"/>
      <c r="W1088" s="55"/>
      <c r="X1088" s="55"/>
      <c r="Y1088" s="55"/>
      <c r="Z1088" s="55"/>
      <c r="AA1088" s="55"/>
      <c r="AB1088" s="55"/>
      <c r="AC1088" s="55"/>
      <c r="AD1088" s="55"/>
      <c r="AE1088" s="55"/>
      <c r="AF1088" s="55"/>
      <c r="AG1088" s="55"/>
      <c r="AH1088" s="55"/>
      <c r="AI1088" s="55"/>
      <c r="AJ1088" s="55"/>
      <c r="AK1088" s="55"/>
      <c r="AL1088" s="55"/>
      <c r="AM1088" s="55"/>
      <c r="AN1088" s="55"/>
      <c r="AO1088" s="55"/>
      <c r="AP1088" s="55"/>
      <c r="AQ1088" s="55"/>
      <c r="AR1088" s="55"/>
      <c r="AS1088" s="55"/>
      <c r="AT1088" s="55"/>
      <c r="AU1088" s="55"/>
    </row>
    <row r="1089" spans="1:47" ht="15.75" customHeight="1">
      <c r="A1089" s="56">
        <v>44890</v>
      </c>
      <c r="B1089" s="57" t="s">
        <v>1361</v>
      </c>
      <c r="C1089" s="46" t="s">
        <v>14</v>
      </c>
      <c r="D1089" s="46" t="s">
        <v>861</v>
      </c>
      <c r="E1089" s="58">
        <v>3000</v>
      </c>
      <c r="F1089" s="46" t="s">
        <v>1362</v>
      </c>
      <c r="G1089" s="46" t="s">
        <v>24</v>
      </c>
      <c r="H1089" s="46" t="s">
        <v>12</v>
      </c>
      <c r="I1089" s="46" t="s">
        <v>374</v>
      </c>
      <c r="J1089" s="56">
        <v>44840</v>
      </c>
      <c r="K1089" s="46" t="s">
        <v>301</v>
      </c>
      <c r="L1089" s="55"/>
      <c r="M1089" s="55"/>
      <c r="N1089" s="55"/>
      <c r="O1089" s="55"/>
      <c r="P1089" s="55"/>
      <c r="Q1089" s="55"/>
      <c r="R1089" s="55"/>
      <c r="S1089" s="55"/>
      <c r="T1089" s="55"/>
      <c r="U1089" s="55"/>
      <c r="V1089" s="55"/>
      <c r="W1089" s="55"/>
      <c r="X1089" s="55"/>
      <c r="Y1089" s="55"/>
      <c r="Z1089" s="55"/>
      <c r="AA1089" s="55"/>
      <c r="AB1089" s="55"/>
      <c r="AC1089" s="55"/>
      <c r="AD1089" s="55"/>
      <c r="AE1089" s="55"/>
      <c r="AF1089" s="55"/>
      <c r="AG1089" s="55"/>
      <c r="AH1089" s="55"/>
      <c r="AI1089" s="55"/>
      <c r="AJ1089" s="55"/>
      <c r="AK1089" s="55"/>
      <c r="AL1089" s="55"/>
      <c r="AM1089" s="55"/>
      <c r="AN1089" s="55"/>
      <c r="AO1089" s="55"/>
      <c r="AP1089" s="55"/>
      <c r="AQ1089" s="55"/>
      <c r="AR1089" s="55"/>
      <c r="AS1089" s="55"/>
      <c r="AT1089" s="55"/>
      <c r="AU1089" s="55"/>
    </row>
    <row r="1090" spans="1:47" ht="15.75" customHeight="1">
      <c r="A1090" s="56">
        <v>44890</v>
      </c>
      <c r="B1090" s="69" t="s">
        <v>1280</v>
      </c>
      <c r="C1090" s="12" t="s">
        <v>14</v>
      </c>
      <c r="D1090" s="82" t="s">
        <v>861</v>
      </c>
      <c r="E1090" s="83">
        <v>300000</v>
      </c>
      <c r="F1090" s="82" t="s">
        <v>68</v>
      </c>
      <c r="G1090" s="82" t="s">
        <v>11</v>
      </c>
      <c r="H1090" s="82" t="s">
        <v>17</v>
      </c>
      <c r="I1090" s="82" t="s">
        <v>28</v>
      </c>
      <c r="J1090" s="81">
        <v>44568</v>
      </c>
      <c r="K1090" s="12" t="s">
        <v>432</v>
      </c>
      <c r="L1090" s="55"/>
      <c r="M1090" s="55"/>
      <c r="N1090" s="55"/>
      <c r="O1090" s="55"/>
      <c r="P1090" s="55"/>
      <c r="Q1090" s="55"/>
      <c r="R1090" s="55"/>
      <c r="S1090" s="55"/>
      <c r="T1090" s="55"/>
      <c r="U1090" s="55"/>
      <c r="V1090" s="55"/>
      <c r="W1090" s="55"/>
      <c r="X1090" s="55"/>
      <c r="Y1090" s="55"/>
      <c r="Z1090" s="55"/>
      <c r="AA1090" s="55"/>
      <c r="AB1090" s="55"/>
      <c r="AC1090" s="55"/>
      <c r="AD1090" s="55"/>
      <c r="AE1090" s="55"/>
      <c r="AF1090" s="55"/>
      <c r="AG1090" s="55"/>
      <c r="AH1090" s="55"/>
      <c r="AI1090" s="55"/>
      <c r="AJ1090" s="55"/>
      <c r="AK1090" s="55"/>
      <c r="AL1090" s="55"/>
      <c r="AM1090" s="55"/>
      <c r="AN1090" s="55"/>
      <c r="AO1090" s="55"/>
      <c r="AP1090" s="55"/>
      <c r="AQ1090" s="55"/>
      <c r="AR1090" s="55"/>
      <c r="AS1090" s="55"/>
      <c r="AT1090" s="55"/>
      <c r="AU1090" s="55"/>
    </row>
    <row r="1091" spans="1:47" ht="15.75" customHeight="1">
      <c r="A1091" s="56">
        <v>44890</v>
      </c>
      <c r="B1091" s="57" t="s">
        <v>1293</v>
      </c>
      <c r="C1091" s="46" t="s">
        <v>14</v>
      </c>
      <c r="D1091" s="46" t="s">
        <v>861</v>
      </c>
      <c r="E1091" s="58">
        <v>5000</v>
      </c>
      <c r="F1091" s="46" t="s">
        <v>1294</v>
      </c>
      <c r="G1091" s="46" t="s">
        <v>11</v>
      </c>
      <c r="H1091" s="46" t="s">
        <v>12</v>
      </c>
      <c r="I1091" s="46" t="s">
        <v>42</v>
      </c>
      <c r="J1091" s="56">
        <v>44460</v>
      </c>
      <c r="K1091" s="46" t="s">
        <v>301</v>
      </c>
      <c r="L1091" s="55"/>
      <c r="M1091" s="55"/>
      <c r="N1091" s="55"/>
      <c r="O1091" s="55"/>
      <c r="P1091" s="55"/>
      <c r="Q1091" s="55"/>
      <c r="R1091" s="55"/>
      <c r="S1091" s="55"/>
      <c r="T1091" s="55"/>
      <c r="U1091" s="55"/>
      <c r="V1091" s="55"/>
      <c r="W1091" s="55"/>
      <c r="X1091" s="55"/>
      <c r="Y1091" s="55"/>
      <c r="Z1091" s="55"/>
      <c r="AA1091" s="55"/>
      <c r="AB1091" s="55"/>
      <c r="AC1091" s="55"/>
      <c r="AD1091" s="55"/>
      <c r="AE1091" s="55"/>
      <c r="AF1091" s="55"/>
      <c r="AG1091" s="55"/>
      <c r="AH1091" s="55"/>
      <c r="AI1091" s="55"/>
      <c r="AJ1091" s="55"/>
      <c r="AK1091" s="55"/>
      <c r="AL1091" s="55"/>
      <c r="AM1091" s="55"/>
      <c r="AN1091" s="55"/>
      <c r="AO1091" s="55"/>
      <c r="AP1091" s="55"/>
      <c r="AQ1091" s="55"/>
      <c r="AR1091" s="55"/>
      <c r="AS1091" s="55"/>
      <c r="AT1091" s="55"/>
      <c r="AU1091" s="55"/>
    </row>
    <row r="1092" spans="1:47" ht="15.75" customHeight="1">
      <c r="A1092" s="56">
        <v>44893</v>
      </c>
      <c r="B1092" s="57" t="s">
        <v>1363</v>
      </c>
      <c r="C1092" s="46" t="s">
        <v>14</v>
      </c>
      <c r="D1092" s="46" t="s">
        <v>861</v>
      </c>
      <c r="E1092" s="58">
        <v>30000</v>
      </c>
      <c r="F1092" s="46" t="s">
        <v>532</v>
      </c>
      <c r="G1092" s="46" t="s">
        <v>11</v>
      </c>
      <c r="H1092" s="46" t="s">
        <v>17</v>
      </c>
      <c r="I1092" s="46" t="s">
        <v>128</v>
      </c>
      <c r="J1092" s="56">
        <v>44186</v>
      </c>
      <c r="K1092" s="46" t="s">
        <v>295</v>
      </c>
      <c r="L1092" s="55"/>
      <c r="M1092" s="55"/>
      <c r="N1092" s="55"/>
      <c r="O1092" s="55"/>
      <c r="P1092" s="55"/>
      <c r="Q1092" s="55"/>
      <c r="R1092" s="55"/>
      <c r="S1092" s="55"/>
      <c r="T1092" s="55"/>
      <c r="U1092" s="55"/>
      <c r="V1092" s="55"/>
      <c r="W1092" s="55"/>
      <c r="X1092" s="55"/>
      <c r="Y1092" s="55"/>
      <c r="Z1092" s="55"/>
      <c r="AA1092" s="55"/>
      <c r="AB1092" s="55"/>
      <c r="AC1092" s="55"/>
      <c r="AD1092" s="55"/>
      <c r="AE1092" s="55"/>
      <c r="AF1092" s="55"/>
      <c r="AG1092" s="55"/>
      <c r="AH1092" s="55"/>
      <c r="AI1092" s="55"/>
      <c r="AJ1092" s="55"/>
      <c r="AK1092" s="55"/>
      <c r="AL1092" s="55"/>
      <c r="AM1092" s="55"/>
      <c r="AN1092" s="55"/>
      <c r="AO1092" s="55"/>
      <c r="AP1092" s="55"/>
      <c r="AQ1092" s="55"/>
      <c r="AR1092" s="55"/>
      <c r="AS1092" s="55"/>
      <c r="AT1092" s="55"/>
      <c r="AU1092" s="55"/>
    </row>
    <row r="1093" spans="1:47" ht="15.75" customHeight="1">
      <c r="A1093" s="56">
        <v>44893</v>
      </c>
      <c r="B1093" s="82">
        <v>6986262</v>
      </c>
      <c r="C1093" s="46" t="s">
        <v>14</v>
      </c>
      <c r="D1093" s="46" t="s">
        <v>861</v>
      </c>
      <c r="E1093" s="58">
        <v>4386.42</v>
      </c>
      <c r="F1093" s="46" t="s">
        <v>398</v>
      </c>
      <c r="G1093" s="37" t="s">
        <v>11</v>
      </c>
      <c r="H1093" s="46" t="s">
        <v>17</v>
      </c>
      <c r="I1093" s="46" t="s">
        <v>369</v>
      </c>
      <c r="J1093" s="56">
        <v>44503</v>
      </c>
      <c r="K1093" s="12" t="s">
        <v>309</v>
      </c>
      <c r="L1093" s="55"/>
      <c r="M1093" s="55"/>
      <c r="N1093" s="55"/>
      <c r="O1093" s="55"/>
      <c r="P1093" s="55"/>
      <c r="Q1093" s="55"/>
      <c r="R1093" s="55"/>
      <c r="S1093" s="55"/>
      <c r="T1093" s="55"/>
      <c r="U1093" s="55"/>
      <c r="V1093" s="55"/>
      <c r="W1093" s="55"/>
      <c r="X1093" s="55"/>
      <c r="Y1093" s="55"/>
      <c r="Z1093" s="55"/>
      <c r="AA1093" s="55"/>
      <c r="AB1093" s="55"/>
      <c r="AC1093" s="55"/>
      <c r="AD1093" s="55"/>
      <c r="AE1093" s="55"/>
      <c r="AF1093" s="55"/>
      <c r="AG1093" s="55"/>
      <c r="AH1093" s="55"/>
      <c r="AI1093" s="55"/>
      <c r="AJ1093" s="55"/>
      <c r="AK1093" s="55"/>
      <c r="AL1093" s="55"/>
      <c r="AM1093" s="55"/>
      <c r="AN1093" s="55"/>
      <c r="AO1093" s="55"/>
      <c r="AP1093" s="55"/>
      <c r="AQ1093" s="55"/>
      <c r="AR1093" s="55"/>
      <c r="AS1093" s="55"/>
      <c r="AT1093" s="55"/>
      <c r="AU1093" s="55"/>
    </row>
    <row r="1094" spans="1:47" ht="15.75" customHeight="1">
      <c r="A1094" s="56">
        <v>44894</v>
      </c>
      <c r="B1094" s="57" t="s">
        <v>1327</v>
      </c>
      <c r="C1094" s="46" t="s">
        <v>14</v>
      </c>
      <c r="D1094" s="46" t="s">
        <v>54</v>
      </c>
      <c r="E1094" s="58">
        <v>377183.5</v>
      </c>
      <c r="F1094" s="46" t="s">
        <v>486</v>
      </c>
      <c r="G1094" s="46" t="s">
        <v>11</v>
      </c>
      <c r="H1094" s="46" t="s">
        <v>17</v>
      </c>
      <c r="I1094" s="46" t="s">
        <v>33</v>
      </c>
      <c r="J1094" s="56">
        <v>44714</v>
      </c>
      <c r="K1094" s="46" t="s">
        <v>304</v>
      </c>
      <c r="L1094" s="55"/>
      <c r="M1094" s="55"/>
      <c r="N1094" s="55"/>
      <c r="O1094" s="55"/>
      <c r="P1094" s="55"/>
      <c r="Q1094" s="55"/>
      <c r="R1094" s="55"/>
      <c r="S1094" s="55"/>
      <c r="T1094" s="55"/>
      <c r="U1094" s="55"/>
      <c r="V1094" s="55"/>
      <c r="W1094" s="55"/>
      <c r="X1094" s="55"/>
      <c r="Y1094" s="55"/>
      <c r="Z1094" s="55"/>
      <c r="AA1094" s="55"/>
      <c r="AB1094" s="55"/>
      <c r="AC1094" s="55"/>
      <c r="AD1094" s="55"/>
      <c r="AE1094" s="55"/>
      <c r="AF1094" s="55"/>
      <c r="AG1094" s="55"/>
      <c r="AH1094" s="55"/>
      <c r="AI1094" s="55"/>
      <c r="AJ1094" s="55"/>
      <c r="AK1094" s="55"/>
      <c r="AL1094" s="55"/>
      <c r="AM1094" s="55"/>
      <c r="AN1094" s="55"/>
      <c r="AO1094" s="55"/>
      <c r="AP1094" s="55"/>
      <c r="AQ1094" s="55"/>
      <c r="AR1094" s="55"/>
      <c r="AS1094" s="55"/>
      <c r="AT1094" s="55"/>
      <c r="AU1094" s="55"/>
    </row>
    <row r="1095" spans="1:47" ht="15.75" customHeight="1">
      <c r="A1095" s="56">
        <v>44894</v>
      </c>
      <c r="B1095" s="57" t="s">
        <v>1364</v>
      </c>
      <c r="C1095" s="46" t="s">
        <v>14</v>
      </c>
      <c r="D1095" s="46" t="s">
        <v>861</v>
      </c>
      <c r="E1095" s="58">
        <v>60000</v>
      </c>
      <c r="F1095" s="46" t="s">
        <v>74</v>
      </c>
      <c r="G1095" s="46" t="s">
        <v>11</v>
      </c>
      <c r="H1095" s="46" t="s">
        <v>17</v>
      </c>
      <c r="I1095" s="46" t="s">
        <v>28</v>
      </c>
      <c r="J1095" s="56">
        <v>44714</v>
      </c>
      <c r="K1095" s="46" t="s">
        <v>302</v>
      </c>
      <c r="L1095" s="55"/>
      <c r="M1095" s="55"/>
      <c r="N1095" s="55"/>
      <c r="O1095" s="55"/>
      <c r="P1095" s="55"/>
      <c r="Q1095" s="55"/>
      <c r="R1095" s="55"/>
      <c r="S1095" s="55"/>
      <c r="T1095" s="55"/>
      <c r="U1095" s="55"/>
      <c r="V1095" s="55"/>
      <c r="W1095" s="55"/>
      <c r="X1095" s="55"/>
      <c r="Y1095" s="55"/>
      <c r="Z1095" s="55"/>
      <c r="AA1095" s="55"/>
      <c r="AB1095" s="55"/>
      <c r="AC1095" s="55"/>
      <c r="AD1095" s="55"/>
      <c r="AE1095" s="55"/>
      <c r="AF1095" s="55"/>
      <c r="AG1095" s="55"/>
      <c r="AH1095" s="55"/>
      <c r="AI1095" s="55"/>
      <c r="AJ1095" s="55"/>
      <c r="AK1095" s="55"/>
      <c r="AL1095" s="55"/>
      <c r="AM1095" s="55"/>
      <c r="AN1095" s="55"/>
      <c r="AO1095" s="55"/>
      <c r="AP1095" s="55"/>
      <c r="AQ1095" s="55"/>
      <c r="AR1095" s="55"/>
      <c r="AS1095" s="55"/>
      <c r="AT1095" s="55"/>
      <c r="AU1095" s="55"/>
    </row>
    <row r="1096" spans="1:47" ht="15.75" customHeight="1">
      <c r="A1096" s="56">
        <v>44895</v>
      </c>
      <c r="B1096" s="57" t="s">
        <v>1226</v>
      </c>
      <c r="C1096" s="12" t="s">
        <v>14</v>
      </c>
      <c r="D1096" s="46" t="s">
        <v>861</v>
      </c>
      <c r="E1096" s="58">
        <v>15000</v>
      </c>
      <c r="F1096" s="12" t="s">
        <v>77</v>
      </c>
      <c r="G1096" s="46" t="s">
        <v>11</v>
      </c>
      <c r="H1096" s="46" t="s">
        <v>17</v>
      </c>
      <c r="I1096" s="46" t="s">
        <v>26</v>
      </c>
      <c r="J1096" s="56">
        <v>44614</v>
      </c>
      <c r="K1096" s="39" t="s">
        <v>298</v>
      </c>
      <c r="L1096" s="55"/>
      <c r="M1096" s="55"/>
      <c r="N1096" s="55"/>
      <c r="O1096" s="55"/>
      <c r="P1096" s="55"/>
      <c r="Q1096" s="55"/>
      <c r="R1096" s="55"/>
      <c r="S1096" s="55"/>
      <c r="T1096" s="55"/>
      <c r="U1096" s="55"/>
      <c r="V1096" s="55"/>
      <c r="W1096" s="55"/>
      <c r="X1096" s="55"/>
      <c r="Y1096" s="55"/>
      <c r="Z1096" s="55"/>
      <c r="AA1096" s="55"/>
      <c r="AB1096" s="55"/>
      <c r="AC1096" s="55"/>
      <c r="AD1096" s="55"/>
      <c r="AE1096" s="55"/>
      <c r="AF1096" s="55"/>
      <c r="AG1096" s="55"/>
      <c r="AH1096" s="55"/>
      <c r="AI1096" s="55"/>
      <c r="AJ1096" s="55"/>
      <c r="AK1096" s="55"/>
      <c r="AL1096" s="55"/>
      <c r="AM1096" s="55"/>
      <c r="AN1096" s="55"/>
      <c r="AO1096" s="55"/>
      <c r="AP1096" s="55"/>
      <c r="AQ1096" s="55"/>
      <c r="AR1096" s="55"/>
      <c r="AS1096" s="55"/>
      <c r="AT1096" s="55"/>
      <c r="AU1096" s="55"/>
    </row>
    <row r="1097" spans="1:47" ht="15.75" customHeight="1">
      <c r="A1097" s="56">
        <v>44896</v>
      </c>
      <c r="B1097" s="89" t="s">
        <v>1183</v>
      </c>
      <c r="C1097" s="62" t="s">
        <v>14</v>
      </c>
      <c r="D1097" s="46" t="s">
        <v>861</v>
      </c>
      <c r="E1097" s="70">
        <v>30000</v>
      </c>
      <c r="F1097" s="46" t="s">
        <v>69</v>
      </c>
      <c r="G1097" s="56" t="s">
        <v>11</v>
      </c>
      <c r="H1097" s="56" t="s">
        <v>12</v>
      </c>
      <c r="I1097" s="56" t="s">
        <v>851</v>
      </c>
      <c r="J1097" s="56">
        <v>44594</v>
      </c>
      <c r="K1097" s="56" t="s">
        <v>301</v>
      </c>
      <c r="L1097" s="55"/>
      <c r="M1097" s="55"/>
      <c r="N1097" s="55"/>
      <c r="O1097" s="55"/>
      <c r="P1097" s="55"/>
      <c r="Q1097" s="55"/>
      <c r="R1097" s="55"/>
      <c r="S1097" s="55"/>
      <c r="T1097" s="55"/>
      <c r="U1097" s="55"/>
      <c r="V1097" s="55"/>
      <c r="W1097" s="55"/>
      <c r="X1097" s="55"/>
      <c r="Y1097" s="55"/>
      <c r="Z1097" s="55"/>
      <c r="AA1097" s="55"/>
      <c r="AB1097" s="55"/>
      <c r="AC1097" s="55"/>
      <c r="AD1097" s="55"/>
      <c r="AE1097" s="55"/>
      <c r="AF1097" s="55"/>
      <c r="AG1097" s="55"/>
      <c r="AH1097" s="55"/>
      <c r="AI1097" s="55"/>
      <c r="AJ1097" s="55"/>
      <c r="AK1097" s="55"/>
      <c r="AL1097" s="55"/>
      <c r="AM1097" s="55"/>
      <c r="AN1097" s="55"/>
      <c r="AO1097" s="55"/>
      <c r="AP1097" s="55"/>
      <c r="AQ1097" s="55"/>
      <c r="AR1097" s="55"/>
      <c r="AS1097" s="55"/>
      <c r="AT1097" s="55"/>
      <c r="AU1097" s="55"/>
    </row>
    <row r="1098" spans="1:47" ht="15.75" customHeight="1">
      <c r="A1098" s="56">
        <v>44896</v>
      </c>
      <c r="B1098" s="57" t="s">
        <v>1364</v>
      </c>
      <c r="C1098" s="46" t="s">
        <v>14</v>
      </c>
      <c r="D1098" s="46" t="s">
        <v>861</v>
      </c>
      <c r="E1098" s="58">
        <v>60000</v>
      </c>
      <c r="F1098" s="46" t="s">
        <v>74</v>
      </c>
      <c r="G1098" s="46" t="s">
        <v>11</v>
      </c>
      <c r="H1098" s="46" t="s">
        <v>17</v>
      </c>
      <c r="I1098" s="46" t="s">
        <v>28</v>
      </c>
      <c r="J1098" s="56">
        <v>44714</v>
      </c>
      <c r="K1098" s="46" t="s">
        <v>302</v>
      </c>
      <c r="L1098" s="55"/>
      <c r="M1098" s="55"/>
      <c r="N1098" s="55"/>
      <c r="O1098" s="55"/>
      <c r="P1098" s="55"/>
      <c r="Q1098" s="55"/>
      <c r="R1098" s="55"/>
      <c r="S1098" s="55"/>
      <c r="T1098" s="55"/>
      <c r="U1098" s="55"/>
      <c r="V1098" s="55"/>
      <c r="W1098" s="55"/>
      <c r="X1098" s="55"/>
      <c r="Y1098" s="55"/>
      <c r="Z1098" s="55"/>
      <c r="AA1098" s="55"/>
      <c r="AB1098" s="55"/>
      <c r="AC1098" s="55"/>
      <c r="AD1098" s="55"/>
      <c r="AE1098" s="55"/>
      <c r="AF1098" s="55"/>
      <c r="AG1098" s="55"/>
      <c r="AH1098" s="55"/>
      <c r="AI1098" s="55"/>
      <c r="AJ1098" s="55"/>
      <c r="AK1098" s="55"/>
      <c r="AL1098" s="55"/>
      <c r="AM1098" s="55"/>
      <c r="AN1098" s="55"/>
      <c r="AO1098" s="55"/>
      <c r="AP1098" s="55"/>
      <c r="AQ1098" s="55"/>
      <c r="AR1098" s="55"/>
      <c r="AS1098" s="55"/>
      <c r="AT1098" s="55"/>
      <c r="AU1098" s="55"/>
    </row>
    <row r="1099" spans="1:47" ht="15.75" customHeight="1">
      <c r="A1099" s="56">
        <v>44897</v>
      </c>
      <c r="B1099" s="57" t="s">
        <v>1277</v>
      </c>
      <c r="C1099" s="46" t="s">
        <v>14</v>
      </c>
      <c r="D1099" s="46" t="s">
        <v>861</v>
      </c>
      <c r="E1099" s="58">
        <v>30000</v>
      </c>
      <c r="F1099" s="46" t="s">
        <v>364</v>
      </c>
      <c r="G1099" s="46" t="s">
        <v>11</v>
      </c>
      <c r="H1099" s="46" t="s">
        <v>17</v>
      </c>
      <c r="I1099" s="46" t="s">
        <v>510</v>
      </c>
      <c r="J1099" s="56">
        <v>44445</v>
      </c>
      <c r="K1099" s="46" t="s">
        <v>301</v>
      </c>
      <c r="L1099" s="55"/>
      <c r="M1099" s="55"/>
      <c r="N1099" s="55"/>
      <c r="O1099" s="55"/>
      <c r="P1099" s="55"/>
      <c r="Q1099" s="55"/>
      <c r="R1099" s="55"/>
      <c r="S1099" s="55"/>
      <c r="T1099" s="55"/>
      <c r="U1099" s="55"/>
      <c r="V1099" s="55"/>
      <c r="W1099" s="55"/>
      <c r="X1099" s="55"/>
      <c r="Y1099" s="55"/>
      <c r="Z1099" s="55"/>
      <c r="AA1099" s="55"/>
      <c r="AB1099" s="55"/>
      <c r="AC1099" s="55"/>
      <c r="AD1099" s="55"/>
      <c r="AE1099" s="55"/>
      <c r="AF1099" s="55"/>
      <c r="AG1099" s="55"/>
      <c r="AH1099" s="55"/>
      <c r="AI1099" s="55"/>
      <c r="AJ1099" s="55"/>
      <c r="AK1099" s="55"/>
      <c r="AL1099" s="55"/>
      <c r="AM1099" s="55"/>
      <c r="AN1099" s="55"/>
      <c r="AO1099" s="55"/>
      <c r="AP1099" s="55"/>
      <c r="AQ1099" s="55"/>
      <c r="AR1099" s="55"/>
      <c r="AS1099" s="55"/>
      <c r="AT1099" s="55"/>
      <c r="AU1099" s="55"/>
    </row>
    <row r="1100" spans="1:47" ht="15.75" customHeight="1">
      <c r="A1100" s="56">
        <v>44901</v>
      </c>
      <c r="B1100" s="125">
        <v>3241823</v>
      </c>
      <c r="C1100" s="46" t="s">
        <v>14</v>
      </c>
      <c r="D1100" s="46" t="s">
        <v>861</v>
      </c>
      <c r="E1100" s="58">
        <v>1620</v>
      </c>
      <c r="F1100" s="46" t="s">
        <v>46</v>
      </c>
      <c r="G1100" s="46" t="s">
        <v>11</v>
      </c>
      <c r="H1100" s="46" t="s">
        <v>12</v>
      </c>
      <c r="I1100" s="46" t="s">
        <v>16</v>
      </c>
      <c r="J1100" s="56">
        <v>44819</v>
      </c>
      <c r="K1100" s="46" t="s">
        <v>302</v>
      </c>
      <c r="L1100" s="55"/>
      <c r="M1100" s="55"/>
      <c r="N1100" s="55"/>
      <c r="O1100" s="55"/>
      <c r="P1100" s="55"/>
      <c r="Q1100" s="55"/>
      <c r="R1100" s="55"/>
      <c r="S1100" s="55"/>
      <c r="T1100" s="55"/>
      <c r="U1100" s="55"/>
      <c r="V1100" s="55"/>
      <c r="W1100" s="55"/>
      <c r="X1100" s="55"/>
      <c r="Y1100" s="55"/>
      <c r="Z1100" s="55"/>
      <c r="AA1100" s="55"/>
      <c r="AB1100" s="55"/>
      <c r="AC1100" s="55"/>
      <c r="AD1100" s="55"/>
      <c r="AE1100" s="55"/>
      <c r="AF1100" s="55"/>
      <c r="AG1100" s="55"/>
      <c r="AH1100" s="55"/>
      <c r="AI1100" s="55"/>
      <c r="AJ1100" s="55"/>
      <c r="AK1100" s="55"/>
      <c r="AL1100" s="55"/>
      <c r="AM1100" s="55"/>
      <c r="AN1100" s="55"/>
      <c r="AO1100" s="55"/>
      <c r="AP1100" s="55"/>
      <c r="AQ1100" s="55"/>
      <c r="AR1100" s="55"/>
      <c r="AS1100" s="55"/>
      <c r="AT1100" s="55"/>
      <c r="AU1100" s="55"/>
    </row>
    <row r="1101" spans="1:47" ht="15.75" customHeight="1">
      <c r="A1101" s="56">
        <v>44901</v>
      </c>
      <c r="B1101" s="57" t="s">
        <v>1356</v>
      </c>
      <c r="C1101" s="46" t="s">
        <v>14</v>
      </c>
      <c r="D1101" s="46" t="s">
        <v>861</v>
      </c>
      <c r="E1101" s="58">
        <v>80000</v>
      </c>
      <c r="F1101" s="46" t="s">
        <v>89</v>
      </c>
      <c r="G1101" s="46" t="s">
        <v>11</v>
      </c>
      <c r="H1101" s="46" t="s">
        <v>12</v>
      </c>
      <c r="I1101" s="46" t="s">
        <v>18</v>
      </c>
      <c r="J1101" s="56">
        <v>44802</v>
      </c>
      <c r="K1101" s="46" t="s">
        <v>301</v>
      </c>
      <c r="L1101" s="55"/>
      <c r="M1101" s="55"/>
      <c r="N1101" s="55"/>
      <c r="O1101" s="55"/>
      <c r="P1101" s="55"/>
      <c r="Q1101" s="55"/>
      <c r="R1101" s="55"/>
      <c r="S1101" s="55"/>
      <c r="T1101" s="55"/>
      <c r="U1101" s="55"/>
      <c r="V1101" s="55"/>
      <c r="W1101" s="55"/>
      <c r="X1101" s="55"/>
      <c r="Y1101" s="55"/>
      <c r="Z1101" s="55"/>
      <c r="AA1101" s="55"/>
      <c r="AB1101" s="55"/>
      <c r="AC1101" s="55"/>
      <c r="AD1101" s="55"/>
      <c r="AE1101" s="55"/>
      <c r="AF1101" s="55"/>
      <c r="AG1101" s="55"/>
      <c r="AH1101" s="55"/>
      <c r="AI1101" s="55"/>
      <c r="AJ1101" s="55"/>
      <c r="AK1101" s="55"/>
      <c r="AL1101" s="55"/>
      <c r="AM1101" s="55"/>
      <c r="AN1101" s="55"/>
      <c r="AO1101" s="55"/>
      <c r="AP1101" s="55"/>
      <c r="AQ1101" s="55"/>
      <c r="AR1101" s="55"/>
      <c r="AS1101" s="55"/>
      <c r="AT1101" s="55"/>
      <c r="AU1101" s="55"/>
    </row>
    <row r="1102" spans="1:47" ht="15.75" customHeight="1">
      <c r="A1102" s="56">
        <v>44901</v>
      </c>
      <c r="B1102" s="57" t="s">
        <v>1363</v>
      </c>
      <c r="C1102" s="46" t="s">
        <v>14</v>
      </c>
      <c r="D1102" s="46" t="s">
        <v>237</v>
      </c>
      <c r="E1102" s="58">
        <v>159092.51</v>
      </c>
      <c r="F1102" s="46" t="s">
        <v>532</v>
      </c>
      <c r="G1102" s="46" t="s">
        <v>11</v>
      </c>
      <c r="H1102" s="46" t="s">
        <v>17</v>
      </c>
      <c r="I1102" s="46" t="s">
        <v>128</v>
      </c>
      <c r="J1102" s="56">
        <v>44186</v>
      </c>
      <c r="K1102" s="46" t="s">
        <v>295</v>
      </c>
      <c r="L1102" s="55"/>
      <c r="M1102" s="55"/>
      <c r="N1102" s="55"/>
      <c r="O1102" s="55"/>
      <c r="P1102" s="55"/>
      <c r="Q1102" s="55"/>
      <c r="R1102" s="55"/>
      <c r="S1102" s="55"/>
      <c r="T1102" s="55"/>
      <c r="U1102" s="55"/>
      <c r="V1102" s="55"/>
      <c r="W1102" s="55"/>
      <c r="X1102" s="55"/>
      <c r="Y1102" s="55"/>
      <c r="Z1102" s="55"/>
      <c r="AA1102" s="55"/>
      <c r="AB1102" s="55"/>
      <c r="AC1102" s="55"/>
      <c r="AD1102" s="55"/>
      <c r="AE1102" s="55"/>
      <c r="AF1102" s="55"/>
      <c r="AG1102" s="55"/>
      <c r="AH1102" s="55"/>
      <c r="AI1102" s="55"/>
      <c r="AJ1102" s="55"/>
      <c r="AK1102" s="55"/>
      <c r="AL1102" s="55"/>
      <c r="AM1102" s="55"/>
      <c r="AN1102" s="55"/>
      <c r="AO1102" s="55"/>
      <c r="AP1102" s="55"/>
      <c r="AQ1102" s="55"/>
      <c r="AR1102" s="55"/>
      <c r="AS1102" s="55"/>
      <c r="AT1102" s="55"/>
      <c r="AU1102" s="55"/>
    </row>
    <row r="1103" spans="1:47" ht="15.75" customHeight="1">
      <c r="A1103" s="56">
        <v>44907</v>
      </c>
      <c r="B1103" s="57">
        <v>4432780</v>
      </c>
      <c r="C1103" s="46" t="s">
        <v>14</v>
      </c>
      <c r="D1103" s="46" t="s">
        <v>54</v>
      </c>
      <c r="E1103" s="58">
        <v>101114.41</v>
      </c>
      <c r="F1103" s="46" t="s">
        <v>326</v>
      </c>
      <c r="G1103" s="46" t="s">
        <v>11</v>
      </c>
      <c r="H1103" s="46" t="s">
        <v>1365</v>
      </c>
      <c r="I1103" s="46" t="s">
        <v>1366</v>
      </c>
      <c r="J1103" s="56">
        <v>44078</v>
      </c>
      <c r="K1103" s="46" t="s">
        <v>304</v>
      </c>
      <c r="L1103" s="55"/>
      <c r="M1103" s="55"/>
      <c r="N1103" s="55"/>
      <c r="O1103" s="55"/>
      <c r="P1103" s="55"/>
      <c r="Q1103" s="55"/>
      <c r="R1103" s="55"/>
      <c r="S1103" s="55"/>
      <c r="T1103" s="55"/>
      <c r="U1103" s="55"/>
      <c r="V1103" s="55"/>
      <c r="W1103" s="55"/>
      <c r="X1103" s="55"/>
      <c r="Y1103" s="55"/>
      <c r="Z1103" s="55"/>
      <c r="AA1103" s="55"/>
      <c r="AB1103" s="55"/>
      <c r="AC1103" s="55"/>
      <c r="AD1103" s="55"/>
      <c r="AE1103" s="55"/>
      <c r="AF1103" s="55"/>
      <c r="AG1103" s="55"/>
      <c r="AH1103" s="55"/>
      <c r="AI1103" s="55"/>
      <c r="AJ1103" s="55"/>
      <c r="AK1103" s="55"/>
      <c r="AL1103" s="55"/>
      <c r="AM1103" s="55"/>
      <c r="AN1103" s="55"/>
      <c r="AO1103" s="55"/>
      <c r="AP1103" s="55"/>
      <c r="AQ1103" s="55"/>
      <c r="AR1103" s="55"/>
      <c r="AS1103" s="55"/>
      <c r="AT1103" s="55"/>
      <c r="AU1103" s="55"/>
    </row>
    <row r="1104" spans="1:47" ht="15.75" customHeight="1">
      <c r="A1104" s="56">
        <v>44896</v>
      </c>
      <c r="B1104" s="57" t="s">
        <v>1367</v>
      </c>
      <c r="C1104" s="46" t="s">
        <v>14</v>
      </c>
      <c r="D1104" s="46" t="s">
        <v>237</v>
      </c>
      <c r="E1104" s="58">
        <v>179504.09</v>
      </c>
      <c r="F1104" s="46" t="s">
        <v>456</v>
      </c>
      <c r="G1104" s="46" t="s">
        <v>24</v>
      </c>
      <c r="H1104" s="46" t="s">
        <v>12</v>
      </c>
      <c r="I1104" s="46" t="s">
        <v>128</v>
      </c>
      <c r="J1104" s="56">
        <v>44246</v>
      </c>
      <c r="K1104" s="46" t="s">
        <v>298</v>
      </c>
      <c r="L1104" s="55"/>
      <c r="M1104" s="55"/>
      <c r="N1104" s="55"/>
      <c r="O1104" s="55"/>
      <c r="P1104" s="55"/>
      <c r="Q1104" s="55"/>
      <c r="R1104" s="55"/>
      <c r="S1104" s="55"/>
      <c r="T1104" s="55"/>
      <c r="U1104" s="55"/>
      <c r="V1104" s="55"/>
      <c r="W1104" s="55"/>
      <c r="X1104" s="55"/>
      <c r="Y1104" s="55"/>
      <c r="Z1104" s="55"/>
      <c r="AA1104" s="55"/>
      <c r="AB1104" s="55"/>
      <c r="AC1104" s="55"/>
      <c r="AD1104" s="55"/>
      <c r="AE1104" s="55"/>
      <c r="AF1104" s="55"/>
      <c r="AG1104" s="55"/>
      <c r="AH1104" s="55"/>
      <c r="AI1104" s="55"/>
      <c r="AJ1104" s="55"/>
      <c r="AK1104" s="55"/>
      <c r="AL1104" s="55"/>
      <c r="AM1104" s="55"/>
      <c r="AN1104" s="55"/>
      <c r="AO1104" s="55"/>
      <c r="AP1104" s="55"/>
      <c r="AQ1104" s="55"/>
      <c r="AR1104" s="55"/>
      <c r="AS1104" s="55"/>
      <c r="AT1104" s="55"/>
      <c r="AU1104" s="55"/>
    </row>
    <row r="1105" spans="1:47" ht="15.75" customHeight="1">
      <c r="A1105" s="56">
        <v>44895</v>
      </c>
      <c r="B1105" s="57" t="s">
        <v>1368</v>
      </c>
      <c r="C1105" s="46" t="s">
        <v>14</v>
      </c>
      <c r="D1105" s="46" t="s">
        <v>237</v>
      </c>
      <c r="E1105" s="58" t="s">
        <v>1369</v>
      </c>
      <c r="F1105" s="48" t="s">
        <v>539</v>
      </c>
      <c r="G1105" s="46" t="s">
        <v>11</v>
      </c>
      <c r="H1105" s="46" t="s">
        <v>17</v>
      </c>
      <c r="I1105" s="46" t="s">
        <v>35</v>
      </c>
      <c r="J1105" s="56">
        <v>44390</v>
      </c>
      <c r="K1105" s="46" t="s">
        <v>304</v>
      </c>
      <c r="L1105" s="55"/>
      <c r="M1105" s="55"/>
      <c r="N1105" s="55"/>
      <c r="O1105" s="55"/>
      <c r="P1105" s="55"/>
      <c r="Q1105" s="55"/>
      <c r="R1105" s="55"/>
      <c r="S1105" s="55"/>
      <c r="T1105" s="55"/>
      <c r="U1105" s="55"/>
      <c r="V1105" s="55"/>
      <c r="W1105" s="55"/>
      <c r="X1105" s="55"/>
      <c r="Y1105" s="55"/>
      <c r="Z1105" s="55"/>
      <c r="AA1105" s="55"/>
      <c r="AB1105" s="55"/>
      <c r="AC1105" s="55"/>
      <c r="AD1105" s="55"/>
      <c r="AE1105" s="55"/>
      <c r="AF1105" s="55"/>
      <c r="AG1105" s="55"/>
      <c r="AH1105" s="55"/>
      <c r="AI1105" s="55"/>
      <c r="AJ1105" s="55"/>
      <c r="AK1105" s="55"/>
      <c r="AL1105" s="55"/>
      <c r="AM1105" s="55"/>
      <c r="AN1105" s="55"/>
      <c r="AO1105" s="55"/>
      <c r="AP1105" s="55"/>
      <c r="AQ1105" s="55"/>
      <c r="AR1105" s="55"/>
      <c r="AS1105" s="55"/>
      <c r="AT1105" s="55"/>
      <c r="AU1105" s="55"/>
    </row>
    <row r="1106" spans="1:47" ht="15.75" customHeight="1">
      <c r="A1106" s="56">
        <v>44901</v>
      </c>
      <c r="B1106" s="57" t="s">
        <v>1363</v>
      </c>
      <c r="C1106" s="46" t="s">
        <v>14</v>
      </c>
      <c r="D1106" s="46" t="s">
        <v>237</v>
      </c>
      <c r="E1106" s="58">
        <v>156195.12</v>
      </c>
      <c r="F1106" s="46" t="s">
        <v>532</v>
      </c>
      <c r="G1106" s="46" t="s">
        <v>24</v>
      </c>
      <c r="H1106" s="46" t="s">
        <v>12</v>
      </c>
      <c r="I1106" s="46" t="s">
        <v>128</v>
      </c>
      <c r="J1106" s="56">
        <v>44186</v>
      </c>
      <c r="K1106" s="46" t="s">
        <v>295</v>
      </c>
      <c r="L1106" s="55"/>
      <c r="M1106" s="55"/>
      <c r="N1106" s="55"/>
      <c r="O1106" s="55"/>
      <c r="P1106" s="55"/>
      <c r="Q1106" s="55"/>
      <c r="R1106" s="55"/>
      <c r="S1106" s="55"/>
      <c r="T1106" s="55"/>
      <c r="U1106" s="55"/>
      <c r="V1106" s="55"/>
      <c r="W1106" s="55"/>
      <c r="X1106" s="55"/>
      <c r="Y1106" s="55"/>
      <c r="Z1106" s="55"/>
      <c r="AA1106" s="55"/>
      <c r="AB1106" s="55"/>
      <c r="AC1106" s="55"/>
      <c r="AD1106" s="55"/>
      <c r="AE1106" s="55"/>
      <c r="AF1106" s="55"/>
      <c r="AG1106" s="55"/>
      <c r="AH1106" s="55"/>
      <c r="AI1106" s="55"/>
      <c r="AJ1106" s="55"/>
      <c r="AK1106" s="55"/>
      <c r="AL1106" s="55"/>
      <c r="AM1106" s="55"/>
      <c r="AN1106" s="55"/>
      <c r="AO1106" s="55"/>
      <c r="AP1106" s="55"/>
      <c r="AQ1106" s="55"/>
      <c r="AR1106" s="55"/>
      <c r="AS1106" s="55"/>
      <c r="AT1106" s="55"/>
      <c r="AU1106" s="55"/>
    </row>
    <row r="1107" spans="1:47" ht="15.75" customHeight="1">
      <c r="A1107" s="56">
        <v>44896</v>
      </c>
      <c r="B1107" s="57" t="s">
        <v>1138</v>
      </c>
      <c r="C1107" s="46" t="s">
        <v>14</v>
      </c>
      <c r="D1107" s="46" t="s">
        <v>237</v>
      </c>
      <c r="E1107" s="58">
        <v>244812.62</v>
      </c>
      <c r="F1107" s="46" t="s">
        <v>544</v>
      </c>
      <c r="G1107" s="46" t="s">
        <v>24</v>
      </c>
      <c r="H1107" s="46" t="s">
        <v>17</v>
      </c>
      <c r="I1107" s="46" t="s">
        <v>1366</v>
      </c>
      <c r="J1107" s="56">
        <v>44340</v>
      </c>
      <c r="K1107" s="46" t="s">
        <v>304</v>
      </c>
      <c r="L1107" s="55"/>
      <c r="M1107" s="55"/>
      <c r="N1107" s="55"/>
      <c r="O1107" s="55"/>
      <c r="P1107" s="55"/>
      <c r="Q1107" s="55"/>
      <c r="R1107" s="55"/>
      <c r="S1107" s="55"/>
      <c r="T1107" s="55"/>
      <c r="U1107" s="55"/>
      <c r="V1107" s="55"/>
      <c r="W1107" s="55"/>
      <c r="X1107" s="55"/>
      <c r="Y1107" s="55"/>
      <c r="Z1107" s="55"/>
      <c r="AA1107" s="55"/>
      <c r="AB1107" s="55"/>
      <c r="AC1107" s="55"/>
      <c r="AD1107" s="55"/>
      <c r="AE1107" s="55"/>
      <c r="AF1107" s="55"/>
      <c r="AG1107" s="55"/>
      <c r="AH1107" s="55"/>
      <c r="AI1107" s="55"/>
      <c r="AJ1107" s="55"/>
      <c r="AK1107" s="55"/>
      <c r="AL1107" s="55"/>
      <c r="AM1107" s="55"/>
      <c r="AN1107" s="55"/>
      <c r="AO1107" s="55"/>
      <c r="AP1107" s="55"/>
      <c r="AQ1107" s="55"/>
      <c r="AR1107" s="55"/>
      <c r="AS1107" s="55"/>
      <c r="AT1107" s="55"/>
      <c r="AU1107" s="55"/>
    </row>
    <row r="1108" spans="1:47" ht="15.75" customHeight="1">
      <c r="A1108" s="56">
        <v>44543</v>
      </c>
      <c r="B1108" s="57" t="s">
        <v>1370</v>
      </c>
      <c r="C1108" s="46" t="s">
        <v>14</v>
      </c>
      <c r="D1108" s="46" t="s">
        <v>861</v>
      </c>
      <c r="E1108" s="58">
        <v>5000</v>
      </c>
      <c r="F1108" s="46" t="s">
        <v>531</v>
      </c>
      <c r="G1108" s="46" t="s">
        <v>24</v>
      </c>
      <c r="H1108" s="46" t="s">
        <v>12</v>
      </c>
      <c r="I1108" s="46" t="s">
        <v>311</v>
      </c>
      <c r="J1108" s="56">
        <v>44421</v>
      </c>
      <c r="K1108" s="46" t="s">
        <v>304</v>
      </c>
      <c r="L1108" s="55"/>
      <c r="M1108" s="55"/>
      <c r="N1108" s="55"/>
      <c r="O1108" s="55"/>
      <c r="P1108" s="55"/>
      <c r="Q1108" s="55"/>
      <c r="R1108" s="55"/>
      <c r="S1108" s="55"/>
      <c r="T1108" s="55"/>
      <c r="U1108" s="55"/>
      <c r="V1108" s="55"/>
      <c r="W1108" s="55"/>
      <c r="X1108" s="55"/>
      <c r="Y1108" s="55"/>
      <c r="Z1108" s="55"/>
      <c r="AA1108" s="55"/>
      <c r="AB1108" s="55"/>
      <c r="AC1108" s="55"/>
      <c r="AD1108" s="55"/>
      <c r="AE1108" s="55"/>
      <c r="AF1108" s="55"/>
      <c r="AG1108" s="55"/>
      <c r="AH1108" s="55"/>
      <c r="AI1108" s="55"/>
      <c r="AJ1108" s="55"/>
      <c r="AK1108" s="55"/>
      <c r="AL1108" s="55"/>
      <c r="AM1108" s="55"/>
      <c r="AN1108" s="55"/>
      <c r="AO1108" s="55"/>
      <c r="AP1108" s="55"/>
      <c r="AQ1108" s="55"/>
      <c r="AR1108" s="55"/>
      <c r="AS1108" s="55"/>
      <c r="AT1108" s="55"/>
      <c r="AU1108" s="55"/>
    </row>
    <row r="1109" spans="1:47" ht="15.75" customHeight="1">
      <c r="A1109" s="56">
        <v>44908</v>
      </c>
      <c r="B1109" s="57" t="s">
        <v>1371</v>
      </c>
      <c r="C1109" s="46" t="s">
        <v>14</v>
      </c>
      <c r="D1109" s="46" t="s">
        <v>861</v>
      </c>
      <c r="E1109" s="58">
        <v>25000</v>
      </c>
      <c r="F1109" s="46" t="s">
        <v>566</v>
      </c>
      <c r="G1109" s="46" t="s">
        <v>11</v>
      </c>
      <c r="H1109" s="46" t="s">
        <v>17</v>
      </c>
      <c r="I1109" s="46" t="s">
        <v>26</v>
      </c>
      <c r="J1109" s="56">
        <v>44655</v>
      </c>
      <c r="K1109" s="46" t="s">
        <v>301</v>
      </c>
      <c r="L1109" s="55"/>
      <c r="M1109" s="55"/>
      <c r="N1109" s="55"/>
      <c r="O1109" s="55"/>
      <c r="P1109" s="55"/>
      <c r="Q1109" s="55"/>
      <c r="R1109" s="55"/>
      <c r="S1109" s="55"/>
      <c r="T1109" s="55"/>
      <c r="U1109" s="55"/>
      <c r="V1109" s="55"/>
      <c r="W1109" s="55"/>
      <c r="X1109" s="55"/>
      <c r="Y1109" s="55"/>
      <c r="Z1109" s="55"/>
      <c r="AA1109" s="55"/>
      <c r="AB1109" s="55"/>
      <c r="AC1109" s="55"/>
      <c r="AD1109" s="55"/>
      <c r="AE1109" s="55"/>
      <c r="AF1109" s="55"/>
      <c r="AG1109" s="55"/>
      <c r="AH1109" s="55"/>
      <c r="AI1109" s="55"/>
      <c r="AJ1109" s="55"/>
      <c r="AK1109" s="55"/>
      <c r="AL1109" s="55"/>
      <c r="AM1109" s="55"/>
      <c r="AN1109" s="55"/>
      <c r="AO1109" s="55"/>
      <c r="AP1109" s="55"/>
      <c r="AQ1109" s="55"/>
      <c r="AR1109" s="55"/>
      <c r="AS1109" s="55"/>
      <c r="AT1109" s="55"/>
      <c r="AU1109" s="55"/>
    </row>
    <row r="1110" spans="1:47" ht="15.75" customHeight="1">
      <c r="A1110" s="56">
        <v>44908</v>
      </c>
      <c r="B1110" s="57" t="s">
        <v>1056</v>
      </c>
      <c r="C1110" s="46" t="s">
        <v>150</v>
      </c>
      <c r="D1110" s="46" t="s">
        <v>237</v>
      </c>
      <c r="E1110" s="126">
        <v>70026.759999999995</v>
      </c>
      <c r="F1110" s="49" t="s">
        <v>291</v>
      </c>
      <c r="G1110" s="46" t="s">
        <v>11</v>
      </c>
      <c r="H1110" s="46" t="s">
        <v>9</v>
      </c>
      <c r="I1110" s="46" t="s">
        <v>98</v>
      </c>
      <c r="J1110" s="127">
        <v>44267</v>
      </c>
      <c r="K1110" s="46" t="s">
        <v>298</v>
      </c>
      <c r="L1110" s="55"/>
      <c r="M1110" s="55"/>
      <c r="N1110" s="55"/>
      <c r="O1110" s="55"/>
      <c r="P1110" s="55"/>
      <c r="Q1110" s="55"/>
      <c r="R1110" s="55"/>
      <c r="S1110" s="55"/>
      <c r="T1110" s="55"/>
      <c r="U1110" s="55"/>
      <c r="V1110" s="55"/>
      <c r="W1110" s="55"/>
      <c r="X1110" s="55"/>
      <c r="Y1110" s="55"/>
      <c r="Z1110" s="55"/>
      <c r="AA1110" s="55"/>
      <c r="AB1110" s="55"/>
      <c r="AC1110" s="55"/>
      <c r="AD1110" s="55"/>
      <c r="AE1110" s="55"/>
      <c r="AF1110" s="55"/>
      <c r="AG1110" s="55"/>
      <c r="AH1110" s="55"/>
      <c r="AI1110" s="55"/>
      <c r="AJ1110" s="55"/>
      <c r="AK1110" s="55"/>
      <c r="AL1110" s="55"/>
      <c r="AM1110" s="55"/>
      <c r="AN1110" s="55"/>
      <c r="AO1110" s="55"/>
      <c r="AP1110" s="55"/>
      <c r="AQ1110" s="55"/>
      <c r="AR1110" s="55"/>
      <c r="AS1110" s="55"/>
      <c r="AT1110" s="55"/>
      <c r="AU1110" s="55"/>
    </row>
    <row r="1111" spans="1:47" ht="15.75" customHeight="1">
      <c r="A1111" s="56">
        <v>44908</v>
      </c>
      <c r="B1111" s="57" t="s">
        <v>198</v>
      </c>
      <c r="C1111" s="46" t="s">
        <v>150</v>
      </c>
      <c r="D1111" s="46" t="s">
        <v>237</v>
      </c>
      <c r="E1111" s="58">
        <v>0</v>
      </c>
      <c r="F1111" s="48" t="s">
        <v>291</v>
      </c>
      <c r="G1111" s="46" t="s">
        <v>11</v>
      </c>
      <c r="H1111" s="46" t="s">
        <v>9</v>
      </c>
      <c r="I1111" s="46" t="s">
        <v>98</v>
      </c>
      <c r="J1111" s="46" t="s">
        <v>198</v>
      </c>
      <c r="K1111" s="46" t="s">
        <v>1336</v>
      </c>
      <c r="L1111" s="55"/>
      <c r="M1111" s="55"/>
      <c r="N1111" s="55"/>
      <c r="O1111" s="55"/>
      <c r="P1111" s="55"/>
      <c r="Q1111" s="55"/>
      <c r="R1111" s="55"/>
      <c r="S1111" s="55"/>
      <c r="T1111" s="55"/>
      <c r="U1111" s="55"/>
      <c r="V1111" s="55"/>
      <c r="W1111" s="55"/>
      <c r="X1111" s="55"/>
      <c r="Y1111" s="55"/>
      <c r="Z1111" s="55"/>
      <c r="AA1111" s="55"/>
      <c r="AB1111" s="55"/>
      <c r="AC1111" s="55"/>
      <c r="AD1111" s="55"/>
      <c r="AE1111" s="55"/>
      <c r="AF1111" s="55"/>
      <c r="AG1111" s="55"/>
      <c r="AH1111" s="55"/>
      <c r="AI1111" s="55"/>
      <c r="AJ1111" s="55"/>
      <c r="AK1111" s="55"/>
      <c r="AL1111" s="55"/>
      <c r="AM1111" s="55"/>
      <c r="AN1111" s="55"/>
      <c r="AO1111" s="55"/>
      <c r="AP1111" s="55"/>
      <c r="AQ1111" s="55"/>
      <c r="AR1111" s="55"/>
      <c r="AS1111" s="55"/>
      <c r="AT1111" s="55"/>
      <c r="AU1111" s="55"/>
    </row>
    <row r="1112" spans="1:47" ht="15.75" customHeight="1">
      <c r="A1112" s="56">
        <v>44907</v>
      </c>
      <c r="B1112" s="57" t="s">
        <v>1372</v>
      </c>
      <c r="C1112" s="46" t="s">
        <v>150</v>
      </c>
      <c r="D1112" s="46" t="s">
        <v>237</v>
      </c>
      <c r="E1112" s="58" t="s">
        <v>1373</v>
      </c>
      <c r="F1112" s="46" t="s">
        <v>1374</v>
      </c>
      <c r="G1112" s="46" t="s">
        <v>11</v>
      </c>
      <c r="H1112" s="46" t="s">
        <v>9</v>
      </c>
      <c r="I1112" s="46" t="s">
        <v>98</v>
      </c>
      <c r="J1112" s="56">
        <v>44733</v>
      </c>
      <c r="K1112" s="46" t="s">
        <v>301</v>
      </c>
      <c r="L1112" s="55"/>
      <c r="M1112" s="55"/>
      <c r="N1112" s="55"/>
      <c r="O1112" s="55"/>
      <c r="P1112" s="55"/>
      <c r="Q1112" s="55"/>
      <c r="R1112" s="55"/>
      <c r="S1112" s="55"/>
      <c r="T1112" s="55"/>
      <c r="U1112" s="55"/>
      <c r="V1112" s="55"/>
      <c r="W1112" s="55"/>
      <c r="X1112" s="55"/>
      <c r="Y1112" s="55"/>
      <c r="Z1112" s="55"/>
      <c r="AA1112" s="55"/>
      <c r="AB1112" s="55"/>
      <c r="AC1112" s="55"/>
      <c r="AD1112" s="55"/>
      <c r="AE1112" s="55"/>
      <c r="AF1112" s="55"/>
      <c r="AG1112" s="55"/>
      <c r="AH1112" s="55"/>
      <c r="AI1112" s="55"/>
      <c r="AJ1112" s="55"/>
      <c r="AK1112" s="55"/>
      <c r="AL1112" s="55"/>
      <c r="AM1112" s="55"/>
      <c r="AN1112" s="55"/>
      <c r="AO1112" s="55"/>
      <c r="AP1112" s="55"/>
      <c r="AQ1112" s="55"/>
      <c r="AR1112" s="55"/>
      <c r="AS1112" s="55"/>
      <c r="AT1112" s="55"/>
      <c r="AU1112" s="55"/>
    </row>
    <row r="1113" spans="1:47" ht="15.75" customHeight="1">
      <c r="A1113" s="56">
        <v>44890</v>
      </c>
      <c r="B1113" s="57" t="s">
        <v>1281</v>
      </c>
      <c r="C1113" s="46" t="s">
        <v>14</v>
      </c>
      <c r="D1113" s="46" t="s">
        <v>237</v>
      </c>
      <c r="E1113" s="58">
        <v>251143.6</v>
      </c>
      <c r="F1113" s="46" t="s">
        <v>469</v>
      </c>
      <c r="G1113" s="46" t="s">
        <v>11</v>
      </c>
      <c r="H1113" s="46" t="s">
        <v>17</v>
      </c>
      <c r="I1113" s="46" t="s">
        <v>35</v>
      </c>
      <c r="J1113" s="56"/>
      <c r="K1113" s="56"/>
      <c r="L1113" s="55"/>
      <c r="M1113" s="55"/>
      <c r="N1113" s="55"/>
      <c r="O1113" s="55"/>
      <c r="P1113" s="55"/>
      <c r="Q1113" s="55"/>
      <c r="R1113" s="55"/>
      <c r="S1113" s="55"/>
      <c r="T1113" s="55"/>
      <c r="U1113" s="55"/>
      <c r="V1113" s="55"/>
      <c r="W1113" s="55"/>
      <c r="X1113" s="55"/>
      <c r="Y1113" s="55"/>
      <c r="Z1113" s="55"/>
      <c r="AA1113" s="55"/>
      <c r="AB1113" s="55"/>
      <c r="AC1113" s="55"/>
      <c r="AD1113" s="55"/>
      <c r="AE1113" s="55"/>
      <c r="AF1113" s="55"/>
      <c r="AG1113" s="55"/>
      <c r="AH1113" s="55"/>
      <c r="AI1113" s="55"/>
      <c r="AJ1113" s="55"/>
      <c r="AK1113" s="55"/>
      <c r="AL1113" s="55"/>
      <c r="AM1113" s="55"/>
      <c r="AN1113" s="55"/>
      <c r="AO1113" s="55"/>
      <c r="AP1113" s="55"/>
      <c r="AQ1113" s="55"/>
      <c r="AR1113" s="55"/>
      <c r="AS1113" s="55"/>
      <c r="AT1113" s="55"/>
      <c r="AU1113" s="55"/>
    </row>
    <row r="1114" spans="1:47" ht="15.75" customHeight="1">
      <c r="A1114" s="81">
        <v>44909</v>
      </c>
      <c r="B1114" s="69" t="s">
        <v>1192</v>
      </c>
      <c r="C1114" s="12" t="s">
        <v>14</v>
      </c>
      <c r="D1114" s="82" t="s">
        <v>861</v>
      </c>
      <c r="E1114" s="83">
        <v>10000</v>
      </c>
      <c r="F1114" s="82" t="s">
        <v>308</v>
      </c>
      <c r="G1114" s="82" t="s">
        <v>11</v>
      </c>
      <c r="H1114" s="82" t="s">
        <v>17</v>
      </c>
      <c r="I1114" s="82" t="s">
        <v>26</v>
      </c>
      <c r="J1114" s="81">
        <v>44609</v>
      </c>
      <c r="K1114" s="12" t="s">
        <v>302</v>
      </c>
      <c r="L1114" s="55"/>
      <c r="M1114" s="55"/>
      <c r="N1114" s="55"/>
      <c r="O1114" s="55"/>
      <c r="P1114" s="55"/>
      <c r="Q1114" s="55"/>
      <c r="R1114" s="55"/>
      <c r="S1114" s="55"/>
      <c r="T1114" s="55"/>
      <c r="U1114" s="55"/>
      <c r="V1114" s="55"/>
      <c r="W1114" s="55"/>
      <c r="X1114" s="55"/>
      <c r="Y1114" s="55"/>
      <c r="Z1114" s="55"/>
      <c r="AA1114" s="55"/>
      <c r="AB1114" s="55"/>
      <c r="AC1114" s="55"/>
      <c r="AD1114" s="55"/>
      <c r="AE1114" s="55"/>
      <c r="AF1114" s="55"/>
      <c r="AG1114" s="55"/>
      <c r="AH1114" s="55"/>
      <c r="AI1114" s="55"/>
      <c r="AJ1114" s="55"/>
      <c r="AK1114" s="55"/>
      <c r="AL1114" s="55"/>
      <c r="AM1114" s="55"/>
      <c r="AN1114" s="55"/>
      <c r="AO1114" s="55"/>
      <c r="AP1114" s="55"/>
      <c r="AQ1114" s="55"/>
      <c r="AR1114" s="55"/>
      <c r="AS1114" s="55"/>
      <c r="AT1114" s="55"/>
      <c r="AU1114" s="55"/>
    </row>
    <row r="1115" spans="1:47" ht="15.75" customHeight="1">
      <c r="A1115" s="56">
        <v>44911</v>
      </c>
      <c r="B1115" s="57" t="s">
        <v>964</v>
      </c>
      <c r="C1115" s="12" t="s">
        <v>14</v>
      </c>
      <c r="D1115" s="46" t="s">
        <v>237</v>
      </c>
      <c r="E1115" s="58">
        <v>115969.72</v>
      </c>
      <c r="F1115" s="46" t="s">
        <v>560</v>
      </c>
      <c r="G1115" s="46" t="s">
        <v>24</v>
      </c>
      <c r="H1115" s="46" t="s">
        <v>12</v>
      </c>
      <c r="I1115" s="46" t="s">
        <v>1375</v>
      </c>
      <c r="J1115" s="56">
        <v>44203</v>
      </c>
      <c r="K1115" s="46" t="s">
        <v>298</v>
      </c>
      <c r="L1115" s="55"/>
      <c r="M1115" s="55"/>
      <c r="N1115" s="55"/>
      <c r="O1115" s="55"/>
      <c r="P1115" s="55"/>
      <c r="Q1115" s="55"/>
      <c r="R1115" s="55"/>
      <c r="S1115" s="55"/>
      <c r="T1115" s="55"/>
      <c r="U1115" s="55"/>
      <c r="V1115" s="55"/>
      <c r="W1115" s="55"/>
      <c r="X1115" s="55"/>
      <c r="Y1115" s="55"/>
      <c r="Z1115" s="55"/>
      <c r="AA1115" s="55"/>
      <c r="AB1115" s="55"/>
      <c r="AC1115" s="55"/>
      <c r="AD1115" s="55"/>
      <c r="AE1115" s="55"/>
      <c r="AF1115" s="55"/>
      <c r="AG1115" s="55"/>
      <c r="AH1115" s="55"/>
      <c r="AI1115" s="55"/>
      <c r="AJ1115" s="55"/>
      <c r="AK1115" s="55"/>
      <c r="AL1115" s="55"/>
      <c r="AM1115" s="55"/>
      <c r="AN1115" s="55"/>
      <c r="AO1115" s="55"/>
      <c r="AP1115" s="55"/>
      <c r="AQ1115" s="55"/>
      <c r="AR1115" s="55"/>
      <c r="AS1115" s="55"/>
      <c r="AT1115" s="55"/>
      <c r="AU1115" s="55"/>
    </row>
    <row r="1116" spans="1:47" ht="15.75" customHeight="1">
      <c r="A1116" s="56">
        <v>44911</v>
      </c>
      <c r="B1116" s="57" t="s">
        <v>1376</v>
      </c>
      <c r="C1116" s="46" t="s">
        <v>150</v>
      </c>
      <c r="D1116" s="46" t="s">
        <v>237</v>
      </c>
      <c r="E1116" s="126">
        <v>6543.8</v>
      </c>
      <c r="F1116" s="46" t="s">
        <v>1377</v>
      </c>
      <c r="G1116" s="46" t="s">
        <v>11</v>
      </c>
      <c r="H1116" s="46" t="s">
        <v>9</v>
      </c>
      <c r="I1116" s="46" t="s">
        <v>10</v>
      </c>
      <c r="J1116" s="56">
        <v>44263</v>
      </c>
      <c r="K1116" s="46" t="s">
        <v>295</v>
      </c>
      <c r="L1116" s="55"/>
      <c r="M1116" s="55"/>
      <c r="N1116" s="55"/>
      <c r="O1116" s="55"/>
      <c r="P1116" s="55"/>
      <c r="Q1116" s="55"/>
      <c r="R1116" s="55"/>
      <c r="S1116" s="55"/>
      <c r="T1116" s="55"/>
      <c r="U1116" s="55"/>
      <c r="V1116" s="55"/>
      <c r="W1116" s="55"/>
      <c r="X1116" s="55"/>
      <c r="Y1116" s="55"/>
      <c r="Z1116" s="55"/>
      <c r="AA1116" s="55"/>
      <c r="AB1116" s="55"/>
      <c r="AC1116" s="55"/>
      <c r="AD1116" s="55"/>
      <c r="AE1116" s="55"/>
      <c r="AF1116" s="55"/>
      <c r="AG1116" s="55"/>
      <c r="AH1116" s="55"/>
      <c r="AI1116" s="55"/>
      <c r="AJ1116" s="55"/>
      <c r="AK1116" s="55"/>
      <c r="AL1116" s="55"/>
      <c r="AM1116" s="55"/>
      <c r="AN1116" s="55"/>
      <c r="AO1116" s="55"/>
      <c r="AP1116" s="55"/>
      <c r="AQ1116" s="55"/>
      <c r="AR1116" s="55"/>
      <c r="AS1116" s="55"/>
      <c r="AT1116" s="55"/>
      <c r="AU1116" s="55"/>
    </row>
    <row r="1117" spans="1:47" ht="15.75" customHeight="1">
      <c r="A1117" s="56">
        <v>44914</v>
      </c>
      <c r="B1117" s="57">
        <v>6604192</v>
      </c>
      <c r="C1117" s="46" t="s">
        <v>14</v>
      </c>
      <c r="D1117" s="46" t="s">
        <v>861</v>
      </c>
      <c r="E1117" s="126">
        <v>3700</v>
      </c>
      <c r="F1117" s="46" t="s">
        <v>490</v>
      </c>
      <c r="G1117" s="46" t="s">
        <v>11</v>
      </c>
      <c r="H1117" s="46" t="s">
        <v>12</v>
      </c>
      <c r="I1117" s="46" t="s">
        <v>42</v>
      </c>
      <c r="J1117" s="56">
        <v>44460</v>
      </c>
      <c r="K1117" s="46" t="s">
        <v>301</v>
      </c>
      <c r="L1117" s="55"/>
      <c r="M1117" s="55"/>
      <c r="N1117" s="55"/>
      <c r="O1117" s="55"/>
      <c r="P1117" s="55"/>
      <c r="Q1117" s="55"/>
      <c r="R1117" s="55"/>
      <c r="S1117" s="55"/>
      <c r="T1117" s="55"/>
      <c r="U1117" s="55"/>
      <c r="V1117" s="55"/>
      <c r="W1117" s="55"/>
      <c r="X1117" s="55"/>
      <c r="Y1117" s="55"/>
      <c r="Z1117" s="55"/>
      <c r="AA1117" s="55"/>
      <c r="AB1117" s="55"/>
      <c r="AC1117" s="55"/>
      <c r="AD1117" s="55"/>
      <c r="AE1117" s="55"/>
      <c r="AF1117" s="55"/>
      <c r="AG1117" s="55"/>
      <c r="AH1117" s="55"/>
      <c r="AI1117" s="55"/>
      <c r="AJ1117" s="55"/>
      <c r="AK1117" s="55"/>
      <c r="AL1117" s="55"/>
      <c r="AM1117" s="55"/>
      <c r="AN1117" s="55"/>
      <c r="AO1117" s="55"/>
      <c r="AP1117" s="55"/>
      <c r="AQ1117" s="55"/>
      <c r="AR1117" s="55"/>
      <c r="AS1117" s="55"/>
      <c r="AT1117" s="55"/>
      <c r="AU1117" s="55"/>
    </row>
    <row r="1118" spans="1:47" ht="15.75" customHeight="1">
      <c r="A1118" s="56">
        <v>44917</v>
      </c>
      <c r="B1118" s="57">
        <v>5371919</v>
      </c>
      <c r="C1118" s="46" t="s">
        <v>14</v>
      </c>
      <c r="D1118" s="46" t="s">
        <v>861</v>
      </c>
      <c r="E1118" s="126">
        <v>250000</v>
      </c>
      <c r="F1118" s="46" t="s">
        <v>541</v>
      </c>
      <c r="G1118" s="46" t="s">
        <v>24</v>
      </c>
      <c r="H1118" s="46" t="s">
        <v>12</v>
      </c>
      <c r="I1118" s="46" t="s">
        <v>850</v>
      </c>
      <c r="J1118" s="56">
        <v>44714</v>
      </c>
      <c r="K1118" s="48" t="s">
        <v>302</v>
      </c>
      <c r="L1118" s="55"/>
      <c r="M1118" s="55"/>
      <c r="N1118" s="55"/>
      <c r="O1118" s="55"/>
      <c r="P1118" s="55"/>
      <c r="Q1118" s="55"/>
      <c r="R1118" s="55"/>
      <c r="S1118" s="55"/>
      <c r="T1118" s="55"/>
      <c r="U1118" s="55"/>
      <c r="V1118" s="55"/>
      <c r="W1118" s="55"/>
      <c r="X1118" s="55"/>
      <c r="Y1118" s="55"/>
      <c r="Z1118" s="55"/>
      <c r="AA1118" s="55"/>
      <c r="AB1118" s="55"/>
      <c r="AC1118" s="55"/>
      <c r="AD1118" s="55"/>
      <c r="AE1118" s="55"/>
      <c r="AF1118" s="55"/>
      <c r="AG1118" s="55"/>
      <c r="AH1118" s="55"/>
      <c r="AI1118" s="55"/>
      <c r="AJ1118" s="55"/>
      <c r="AK1118" s="55"/>
      <c r="AL1118" s="55"/>
      <c r="AM1118" s="55"/>
      <c r="AN1118" s="55"/>
      <c r="AO1118" s="55"/>
      <c r="AP1118" s="55"/>
      <c r="AQ1118" s="55"/>
      <c r="AR1118" s="55"/>
      <c r="AS1118" s="55"/>
      <c r="AT1118" s="55"/>
      <c r="AU1118" s="55"/>
    </row>
    <row r="1119" spans="1:47" ht="15.75" customHeight="1">
      <c r="A1119" s="56">
        <v>44917</v>
      </c>
      <c r="B1119" s="57">
        <v>3730315</v>
      </c>
      <c r="C1119" s="46" t="s">
        <v>14</v>
      </c>
      <c r="D1119" s="46" t="s">
        <v>861</v>
      </c>
      <c r="E1119" s="126">
        <v>150000</v>
      </c>
      <c r="F1119" s="46" t="s">
        <v>540</v>
      </c>
      <c r="G1119" s="46" t="s">
        <v>24</v>
      </c>
      <c r="H1119" s="46" t="s">
        <v>12</v>
      </c>
      <c r="I1119" s="46" t="s">
        <v>850</v>
      </c>
      <c r="J1119" s="56">
        <v>44714</v>
      </c>
      <c r="K1119" s="48" t="s">
        <v>302</v>
      </c>
      <c r="L1119" s="55"/>
      <c r="M1119" s="55"/>
      <c r="N1119" s="55"/>
      <c r="O1119" s="55"/>
      <c r="P1119" s="55"/>
      <c r="Q1119" s="55"/>
      <c r="R1119" s="55"/>
      <c r="S1119" s="55"/>
      <c r="T1119" s="55"/>
      <c r="U1119" s="55"/>
      <c r="V1119" s="55"/>
      <c r="W1119" s="55"/>
      <c r="X1119" s="55"/>
      <c r="Y1119" s="55"/>
      <c r="Z1119" s="55"/>
      <c r="AA1119" s="55"/>
      <c r="AB1119" s="55"/>
      <c r="AC1119" s="55"/>
      <c r="AD1119" s="55"/>
      <c r="AE1119" s="55"/>
      <c r="AF1119" s="55"/>
      <c r="AG1119" s="55"/>
      <c r="AH1119" s="55"/>
      <c r="AI1119" s="55"/>
      <c r="AJ1119" s="55"/>
      <c r="AK1119" s="55"/>
      <c r="AL1119" s="55"/>
      <c r="AM1119" s="55"/>
      <c r="AN1119" s="55"/>
      <c r="AO1119" s="55"/>
      <c r="AP1119" s="55"/>
      <c r="AQ1119" s="55"/>
      <c r="AR1119" s="55"/>
      <c r="AS1119" s="55"/>
      <c r="AT1119" s="55"/>
      <c r="AU1119" s="55"/>
    </row>
    <row r="1120" spans="1:47" ht="15.75" customHeight="1">
      <c r="A1120" s="56">
        <v>44918</v>
      </c>
      <c r="B1120" s="57" t="s">
        <v>1378</v>
      </c>
      <c r="C1120" s="46" t="s">
        <v>14</v>
      </c>
      <c r="D1120" s="46" t="s">
        <v>861</v>
      </c>
      <c r="E1120" s="58">
        <v>54000</v>
      </c>
      <c r="F1120" s="46" t="s">
        <v>93</v>
      </c>
      <c r="G1120" s="46" t="s">
        <v>24</v>
      </c>
      <c r="H1120" s="46" t="s">
        <v>12</v>
      </c>
      <c r="I1120" s="46" t="s">
        <v>358</v>
      </c>
      <c r="J1120" s="56">
        <v>44134</v>
      </c>
      <c r="K1120" s="46" t="s">
        <v>295</v>
      </c>
      <c r="L1120" s="55"/>
      <c r="M1120" s="55"/>
      <c r="N1120" s="55"/>
      <c r="O1120" s="55"/>
      <c r="P1120" s="55"/>
      <c r="Q1120" s="55"/>
      <c r="R1120" s="55"/>
      <c r="S1120" s="55"/>
      <c r="T1120" s="55"/>
      <c r="U1120" s="55"/>
      <c r="V1120" s="55"/>
      <c r="W1120" s="55"/>
      <c r="X1120" s="55"/>
      <c r="Y1120" s="55"/>
      <c r="Z1120" s="55"/>
      <c r="AA1120" s="55"/>
      <c r="AB1120" s="55"/>
      <c r="AC1120" s="55"/>
      <c r="AD1120" s="55"/>
      <c r="AE1120" s="55"/>
      <c r="AF1120" s="55"/>
      <c r="AG1120" s="55"/>
      <c r="AH1120" s="55"/>
      <c r="AI1120" s="55"/>
      <c r="AJ1120" s="55"/>
      <c r="AK1120" s="55"/>
      <c r="AL1120" s="55"/>
      <c r="AM1120" s="55"/>
      <c r="AN1120" s="55"/>
      <c r="AO1120" s="55"/>
      <c r="AP1120" s="55"/>
      <c r="AQ1120" s="55"/>
      <c r="AR1120" s="55"/>
      <c r="AS1120" s="55"/>
      <c r="AT1120" s="55"/>
      <c r="AU1120" s="55"/>
    </row>
    <row r="1121" spans="1:47" ht="15.75" customHeight="1">
      <c r="A1121" s="56">
        <v>44918</v>
      </c>
      <c r="B1121" s="57" t="s">
        <v>1379</v>
      </c>
      <c r="C1121" s="46" t="s">
        <v>14</v>
      </c>
      <c r="D1121" s="46" t="s">
        <v>54</v>
      </c>
      <c r="E1121" s="58">
        <v>105535.73</v>
      </c>
      <c r="F1121" s="46" t="s">
        <v>1380</v>
      </c>
      <c r="G1121" s="46" t="s">
        <v>24</v>
      </c>
      <c r="H1121" s="46" t="s">
        <v>12</v>
      </c>
      <c r="I1121" s="46" t="s">
        <v>90</v>
      </c>
      <c r="J1121" s="80">
        <v>44361</v>
      </c>
      <c r="K1121" s="46" t="s">
        <v>302</v>
      </c>
      <c r="L1121" s="55"/>
      <c r="M1121" s="55"/>
      <c r="N1121" s="55"/>
      <c r="O1121" s="55"/>
      <c r="P1121" s="55"/>
      <c r="Q1121" s="55"/>
      <c r="R1121" s="55"/>
      <c r="S1121" s="55"/>
      <c r="T1121" s="55"/>
      <c r="U1121" s="55"/>
      <c r="V1121" s="55"/>
      <c r="W1121" s="55"/>
      <c r="X1121" s="55"/>
      <c r="Y1121" s="55"/>
      <c r="Z1121" s="55"/>
      <c r="AA1121" s="55"/>
      <c r="AB1121" s="55"/>
      <c r="AC1121" s="55"/>
      <c r="AD1121" s="55"/>
      <c r="AE1121" s="55"/>
      <c r="AF1121" s="55"/>
      <c r="AG1121" s="55"/>
      <c r="AH1121" s="55"/>
      <c r="AI1121" s="55"/>
      <c r="AJ1121" s="55"/>
      <c r="AK1121" s="55"/>
      <c r="AL1121" s="55"/>
      <c r="AM1121" s="55"/>
      <c r="AN1121" s="55"/>
      <c r="AO1121" s="55"/>
      <c r="AP1121" s="55"/>
      <c r="AQ1121" s="55"/>
      <c r="AR1121" s="55"/>
      <c r="AS1121" s="55"/>
      <c r="AT1121" s="55"/>
      <c r="AU1121" s="55"/>
    </row>
    <row r="1122" spans="1:47" ht="15.75" customHeight="1">
      <c r="A1122" s="56">
        <v>44918</v>
      </c>
      <c r="B1122" s="57" t="s">
        <v>1183</v>
      </c>
      <c r="C1122" s="46" t="s">
        <v>14</v>
      </c>
      <c r="D1122" s="46" t="s">
        <v>861</v>
      </c>
      <c r="E1122" s="58">
        <v>30000</v>
      </c>
      <c r="F1122" s="46" t="s">
        <v>69</v>
      </c>
      <c r="G1122" s="56" t="s">
        <v>11</v>
      </c>
      <c r="H1122" s="56" t="s">
        <v>12</v>
      </c>
      <c r="I1122" s="56" t="s">
        <v>851</v>
      </c>
      <c r="J1122" s="56">
        <v>44594</v>
      </c>
      <c r="K1122" s="56" t="s">
        <v>301</v>
      </c>
      <c r="L1122" s="55"/>
      <c r="M1122" s="55"/>
      <c r="N1122" s="55"/>
      <c r="O1122" s="55"/>
      <c r="P1122" s="55"/>
      <c r="Q1122" s="55"/>
      <c r="R1122" s="55"/>
      <c r="S1122" s="55"/>
      <c r="T1122" s="55"/>
      <c r="U1122" s="55"/>
      <c r="V1122" s="55"/>
      <c r="W1122" s="55"/>
      <c r="X1122" s="55"/>
      <c r="Y1122" s="55"/>
      <c r="Z1122" s="55"/>
      <c r="AA1122" s="55"/>
      <c r="AB1122" s="55"/>
      <c r="AC1122" s="55"/>
      <c r="AD1122" s="55"/>
      <c r="AE1122" s="55"/>
      <c r="AF1122" s="55"/>
      <c r="AG1122" s="55"/>
      <c r="AH1122" s="55"/>
      <c r="AI1122" s="55"/>
      <c r="AJ1122" s="55"/>
      <c r="AK1122" s="55"/>
      <c r="AL1122" s="55"/>
      <c r="AM1122" s="55"/>
      <c r="AN1122" s="55"/>
      <c r="AO1122" s="55"/>
      <c r="AP1122" s="55"/>
      <c r="AQ1122" s="55"/>
      <c r="AR1122" s="55"/>
      <c r="AS1122" s="55"/>
      <c r="AT1122" s="55"/>
      <c r="AU1122" s="55"/>
    </row>
    <row r="1123" spans="1:47" ht="15.75" customHeight="1">
      <c r="A1123" s="56">
        <v>44921</v>
      </c>
      <c r="B1123" s="57" t="s">
        <v>1295</v>
      </c>
      <c r="C1123" s="46" t="s">
        <v>14</v>
      </c>
      <c r="D1123" s="46" t="s">
        <v>861</v>
      </c>
      <c r="E1123" s="58">
        <v>11000</v>
      </c>
      <c r="F1123" s="46" t="s">
        <v>463</v>
      </c>
      <c r="G1123" s="46" t="s">
        <v>11</v>
      </c>
      <c r="H1123" s="46" t="s">
        <v>12</v>
      </c>
      <c r="I1123" s="46" t="s">
        <v>125</v>
      </c>
      <c r="J1123" s="56">
        <v>44393</v>
      </c>
      <c r="K1123" s="46" t="s">
        <v>295</v>
      </c>
      <c r="L1123" s="55"/>
      <c r="M1123" s="55"/>
      <c r="N1123" s="55"/>
      <c r="O1123" s="55"/>
      <c r="P1123" s="55"/>
      <c r="Q1123" s="55"/>
      <c r="R1123" s="55"/>
      <c r="S1123" s="55"/>
      <c r="T1123" s="55"/>
      <c r="U1123" s="55"/>
      <c r="V1123" s="55"/>
      <c r="W1123" s="55"/>
      <c r="X1123" s="55"/>
      <c r="Y1123" s="55"/>
      <c r="Z1123" s="55"/>
      <c r="AA1123" s="55"/>
      <c r="AB1123" s="55"/>
      <c r="AC1123" s="55"/>
      <c r="AD1123" s="55"/>
      <c r="AE1123" s="55"/>
      <c r="AF1123" s="55"/>
      <c r="AG1123" s="55"/>
      <c r="AH1123" s="55"/>
      <c r="AI1123" s="55"/>
      <c r="AJ1123" s="55"/>
      <c r="AK1123" s="55"/>
      <c r="AL1123" s="55"/>
      <c r="AM1123" s="55"/>
      <c r="AN1123" s="55"/>
      <c r="AO1123" s="55"/>
      <c r="AP1123" s="55"/>
      <c r="AQ1123" s="55"/>
      <c r="AR1123" s="55"/>
      <c r="AS1123" s="55"/>
      <c r="AT1123" s="55"/>
      <c r="AU1123" s="55"/>
    </row>
    <row r="1124" spans="1:47" ht="15.75" customHeight="1">
      <c r="A1124" s="56">
        <v>44921</v>
      </c>
      <c r="B1124" s="57" t="s">
        <v>1381</v>
      </c>
      <c r="C1124" s="46" t="s">
        <v>14</v>
      </c>
      <c r="D1124" s="46" t="s">
        <v>861</v>
      </c>
      <c r="E1124" s="58">
        <v>12000</v>
      </c>
      <c r="F1124" s="46" t="s">
        <v>1382</v>
      </c>
      <c r="G1124" s="46" t="s">
        <v>11</v>
      </c>
      <c r="H1124" s="46" t="s">
        <v>12</v>
      </c>
      <c r="I1124" s="46" t="s">
        <v>36</v>
      </c>
      <c r="J1124" s="56">
        <v>44076</v>
      </c>
      <c r="K1124" s="46" t="s">
        <v>302</v>
      </c>
      <c r="L1124" s="55"/>
      <c r="M1124" s="55"/>
      <c r="N1124" s="55"/>
      <c r="O1124" s="55"/>
      <c r="P1124" s="55"/>
      <c r="Q1124" s="55"/>
      <c r="R1124" s="55"/>
      <c r="S1124" s="55"/>
      <c r="T1124" s="55"/>
      <c r="U1124" s="55"/>
      <c r="V1124" s="55"/>
      <c r="W1124" s="55"/>
      <c r="X1124" s="55"/>
      <c r="Y1124" s="55"/>
      <c r="Z1124" s="55"/>
      <c r="AA1124" s="55"/>
      <c r="AB1124" s="55"/>
      <c r="AC1124" s="55"/>
      <c r="AD1124" s="55"/>
      <c r="AE1124" s="55"/>
      <c r="AF1124" s="55"/>
      <c r="AG1124" s="55"/>
      <c r="AH1124" s="55"/>
      <c r="AI1124" s="55"/>
      <c r="AJ1124" s="55"/>
      <c r="AK1124" s="55"/>
      <c r="AL1124" s="55"/>
      <c r="AM1124" s="55"/>
      <c r="AN1124" s="55"/>
      <c r="AO1124" s="55"/>
      <c r="AP1124" s="55"/>
      <c r="AQ1124" s="55"/>
      <c r="AR1124" s="55"/>
      <c r="AS1124" s="55"/>
      <c r="AT1124" s="55"/>
      <c r="AU1124" s="55"/>
    </row>
    <row r="1125" spans="1:47" ht="15.75" customHeight="1">
      <c r="A1125" s="56">
        <v>44921</v>
      </c>
      <c r="B1125" s="57" t="s">
        <v>1383</v>
      </c>
      <c r="C1125" s="46" t="s">
        <v>14</v>
      </c>
      <c r="D1125" s="46" t="s">
        <v>861</v>
      </c>
      <c r="E1125" s="58">
        <v>36019.279999999999</v>
      </c>
      <c r="F1125" s="46" t="s">
        <v>420</v>
      </c>
      <c r="G1125" s="56" t="s">
        <v>11</v>
      </c>
      <c r="H1125" s="56" t="s">
        <v>17</v>
      </c>
      <c r="I1125" s="56" t="s">
        <v>510</v>
      </c>
      <c r="J1125" s="56">
        <v>44511</v>
      </c>
      <c r="K1125" s="56" t="s">
        <v>298</v>
      </c>
      <c r="L1125" s="55"/>
      <c r="M1125" s="55"/>
      <c r="N1125" s="55"/>
      <c r="O1125" s="55"/>
      <c r="P1125" s="55"/>
      <c r="Q1125" s="55"/>
      <c r="R1125" s="55"/>
      <c r="S1125" s="55"/>
      <c r="T1125" s="55"/>
      <c r="U1125" s="55"/>
      <c r="V1125" s="55"/>
      <c r="W1125" s="55"/>
      <c r="X1125" s="55"/>
      <c r="Y1125" s="55"/>
      <c r="Z1125" s="55"/>
      <c r="AA1125" s="55"/>
      <c r="AB1125" s="55"/>
      <c r="AC1125" s="55"/>
      <c r="AD1125" s="55"/>
      <c r="AE1125" s="55"/>
      <c r="AF1125" s="55"/>
      <c r="AG1125" s="55"/>
      <c r="AH1125" s="55"/>
      <c r="AI1125" s="55"/>
      <c r="AJ1125" s="55"/>
      <c r="AK1125" s="55"/>
      <c r="AL1125" s="55"/>
      <c r="AM1125" s="55"/>
      <c r="AN1125" s="55"/>
      <c r="AO1125" s="55"/>
      <c r="AP1125" s="55"/>
      <c r="AQ1125" s="55"/>
      <c r="AR1125" s="55"/>
      <c r="AS1125" s="55"/>
      <c r="AT1125" s="55"/>
      <c r="AU1125" s="55"/>
    </row>
    <row r="1126" spans="1:47" ht="15.75" customHeight="1">
      <c r="A1126" s="56">
        <v>44922</v>
      </c>
      <c r="B1126" s="57" t="s">
        <v>1280</v>
      </c>
      <c r="C1126" s="46" t="s">
        <v>14</v>
      </c>
      <c r="D1126" s="46" t="s">
        <v>861</v>
      </c>
      <c r="E1126" s="58">
        <v>10000</v>
      </c>
      <c r="F1126" s="46" t="s">
        <v>68</v>
      </c>
      <c r="G1126" s="82" t="s">
        <v>11</v>
      </c>
      <c r="H1126" s="82" t="s">
        <v>17</v>
      </c>
      <c r="I1126" s="82" t="s">
        <v>28</v>
      </c>
      <c r="J1126" s="81">
        <v>44568</v>
      </c>
      <c r="K1126" s="12" t="s">
        <v>432</v>
      </c>
      <c r="L1126" s="55"/>
      <c r="M1126" s="55"/>
      <c r="N1126" s="55"/>
      <c r="O1126" s="55"/>
      <c r="P1126" s="55"/>
      <c r="Q1126" s="55"/>
      <c r="R1126" s="55"/>
      <c r="S1126" s="55"/>
      <c r="T1126" s="55"/>
      <c r="U1126" s="55"/>
      <c r="V1126" s="55"/>
      <c r="W1126" s="55"/>
      <c r="X1126" s="55"/>
      <c r="Y1126" s="55"/>
      <c r="Z1126" s="55"/>
      <c r="AA1126" s="55"/>
      <c r="AB1126" s="55"/>
      <c r="AC1126" s="55"/>
      <c r="AD1126" s="55"/>
      <c r="AE1126" s="55"/>
      <c r="AF1126" s="55"/>
      <c r="AG1126" s="55"/>
      <c r="AH1126" s="55"/>
      <c r="AI1126" s="55"/>
      <c r="AJ1126" s="55"/>
      <c r="AK1126" s="55"/>
      <c r="AL1126" s="55"/>
      <c r="AM1126" s="55"/>
      <c r="AN1126" s="55"/>
      <c r="AO1126" s="55"/>
      <c r="AP1126" s="55"/>
      <c r="AQ1126" s="55"/>
      <c r="AR1126" s="55"/>
      <c r="AS1126" s="55"/>
      <c r="AT1126" s="55"/>
      <c r="AU1126" s="55"/>
    </row>
    <row r="1127" spans="1:47" ht="15.75" customHeight="1">
      <c r="A1127" s="56">
        <v>44922</v>
      </c>
      <c r="B1127" s="57" t="s">
        <v>1340</v>
      </c>
      <c r="C1127" s="46" t="s">
        <v>14</v>
      </c>
      <c r="D1127" s="46" t="s">
        <v>54</v>
      </c>
      <c r="E1127" s="58">
        <v>44803.44</v>
      </c>
      <c r="F1127" s="46" t="s">
        <v>307</v>
      </c>
      <c r="G1127" s="46" t="s">
        <v>11</v>
      </c>
      <c r="H1127" s="46" t="s">
        <v>12</v>
      </c>
      <c r="I1127" s="46" t="s">
        <v>18</v>
      </c>
      <c r="J1127" s="128">
        <v>44652</v>
      </c>
      <c r="K1127" s="46" t="s">
        <v>301</v>
      </c>
      <c r="L1127" s="55"/>
      <c r="M1127" s="55"/>
      <c r="N1127" s="55"/>
      <c r="O1127" s="55"/>
      <c r="P1127" s="55"/>
      <c r="Q1127" s="55"/>
      <c r="R1127" s="55"/>
      <c r="S1127" s="55"/>
      <c r="T1127" s="55"/>
      <c r="U1127" s="55"/>
      <c r="V1127" s="55"/>
      <c r="W1127" s="55"/>
      <c r="X1127" s="55"/>
      <c r="Y1127" s="55"/>
      <c r="Z1127" s="55"/>
      <c r="AA1127" s="55"/>
      <c r="AB1127" s="55"/>
      <c r="AC1127" s="55"/>
      <c r="AD1127" s="55"/>
      <c r="AE1127" s="55"/>
      <c r="AF1127" s="55"/>
      <c r="AG1127" s="55"/>
      <c r="AH1127" s="55"/>
      <c r="AI1127" s="55"/>
      <c r="AJ1127" s="55"/>
      <c r="AK1127" s="55"/>
      <c r="AL1127" s="55"/>
      <c r="AM1127" s="55"/>
      <c r="AN1127" s="55"/>
      <c r="AO1127" s="55"/>
      <c r="AP1127" s="55"/>
      <c r="AQ1127" s="55"/>
      <c r="AR1127" s="55"/>
      <c r="AS1127" s="55"/>
      <c r="AT1127" s="55"/>
      <c r="AU1127" s="55"/>
    </row>
    <row r="1128" spans="1:47" ht="15.75" customHeight="1">
      <c r="A1128" s="56">
        <v>44922</v>
      </c>
      <c r="B1128" s="57" t="s">
        <v>1139</v>
      </c>
      <c r="C1128" s="46" t="s">
        <v>14</v>
      </c>
      <c r="D1128" s="46" t="s">
        <v>54</v>
      </c>
      <c r="E1128" s="58">
        <v>25323.14</v>
      </c>
      <c r="F1128" s="46" t="s">
        <v>1384</v>
      </c>
      <c r="G1128" s="46" t="s">
        <v>11</v>
      </c>
      <c r="H1128" s="46" t="s">
        <v>12</v>
      </c>
      <c r="I1128" s="46" t="s">
        <v>125</v>
      </c>
      <c r="J1128" s="56">
        <v>44399</v>
      </c>
      <c r="K1128" s="46" t="s">
        <v>298</v>
      </c>
      <c r="L1128" s="55"/>
      <c r="M1128" s="55"/>
      <c r="N1128" s="55"/>
      <c r="O1128" s="55"/>
      <c r="P1128" s="55"/>
      <c r="Q1128" s="55"/>
      <c r="R1128" s="55"/>
      <c r="S1128" s="55"/>
      <c r="T1128" s="55"/>
      <c r="U1128" s="55"/>
      <c r="V1128" s="55"/>
      <c r="W1128" s="55"/>
      <c r="X1128" s="55"/>
      <c r="Y1128" s="55"/>
      <c r="Z1128" s="55"/>
      <c r="AA1128" s="55"/>
      <c r="AB1128" s="55"/>
      <c r="AC1128" s="55"/>
      <c r="AD1128" s="55"/>
      <c r="AE1128" s="55"/>
      <c r="AF1128" s="55"/>
      <c r="AG1128" s="55"/>
      <c r="AH1128" s="55"/>
      <c r="AI1128" s="55"/>
      <c r="AJ1128" s="55"/>
      <c r="AK1128" s="55"/>
      <c r="AL1128" s="55"/>
      <c r="AM1128" s="55"/>
      <c r="AN1128" s="55"/>
      <c r="AO1128" s="55"/>
      <c r="AP1128" s="55"/>
      <c r="AQ1128" s="55"/>
      <c r="AR1128" s="55"/>
      <c r="AS1128" s="55"/>
      <c r="AT1128" s="55"/>
      <c r="AU1128" s="55"/>
    </row>
    <row r="1129" spans="1:47" ht="15.75" customHeight="1">
      <c r="A1129" s="56">
        <v>44930</v>
      </c>
      <c r="B1129" s="57" t="s">
        <v>1357</v>
      </c>
      <c r="C1129" s="46" t="s">
        <v>14</v>
      </c>
      <c r="D1129" s="46" t="s">
        <v>861</v>
      </c>
      <c r="E1129" s="58">
        <v>5000</v>
      </c>
      <c r="F1129" s="46" t="s">
        <v>37</v>
      </c>
      <c r="G1129" s="46" t="s">
        <v>11</v>
      </c>
      <c r="H1129" s="46" t="s">
        <v>17</v>
      </c>
      <c r="I1129" s="46" t="s">
        <v>28</v>
      </c>
      <c r="J1129" s="81">
        <v>44767</v>
      </c>
      <c r="K1129" s="81" t="s">
        <v>301</v>
      </c>
      <c r="L1129" s="55"/>
      <c r="M1129" s="55"/>
      <c r="N1129" s="55"/>
      <c r="O1129" s="55"/>
      <c r="P1129" s="55"/>
      <c r="Q1129" s="55"/>
      <c r="R1129" s="55"/>
      <c r="S1129" s="55"/>
      <c r="T1129" s="55"/>
      <c r="U1129" s="55"/>
      <c r="V1129" s="55"/>
      <c r="W1129" s="55"/>
      <c r="X1129" s="55"/>
      <c r="Y1129" s="55"/>
      <c r="Z1129" s="55"/>
      <c r="AA1129" s="55"/>
      <c r="AB1129" s="55"/>
      <c r="AC1129" s="55"/>
      <c r="AD1129" s="55"/>
      <c r="AE1129" s="55"/>
      <c r="AF1129" s="55"/>
      <c r="AG1129" s="55"/>
      <c r="AH1129" s="55"/>
      <c r="AI1129" s="55"/>
      <c r="AJ1129" s="55"/>
      <c r="AK1129" s="55"/>
      <c r="AL1129" s="55"/>
      <c r="AM1129" s="55"/>
      <c r="AN1129" s="55"/>
      <c r="AO1129" s="55"/>
      <c r="AP1129" s="55"/>
      <c r="AQ1129" s="55"/>
      <c r="AR1129" s="55"/>
      <c r="AS1129" s="55"/>
      <c r="AT1129" s="55"/>
      <c r="AU1129" s="55"/>
    </row>
    <row r="1130" spans="1:47" ht="15.75" customHeight="1">
      <c r="A1130" s="56">
        <v>44930</v>
      </c>
      <c r="B1130" s="57" t="s">
        <v>939</v>
      </c>
      <c r="C1130" s="46" t="s">
        <v>14</v>
      </c>
      <c r="D1130" s="46" t="s">
        <v>237</v>
      </c>
      <c r="E1130" s="58">
        <v>47562.04</v>
      </c>
      <c r="F1130" s="46" t="s">
        <v>1385</v>
      </c>
      <c r="G1130" s="46" t="s">
        <v>11</v>
      </c>
      <c r="H1130" s="46" t="s">
        <v>12</v>
      </c>
      <c r="I1130" s="46" t="s">
        <v>18</v>
      </c>
      <c r="J1130" s="56">
        <v>44089</v>
      </c>
      <c r="K1130" s="46" t="s">
        <v>301</v>
      </c>
      <c r="L1130" s="55"/>
      <c r="M1130" s="55"/>
      <c r="N1130" s="55"/>
      <c r="O1130" s="55"/>
      <c r="P1130" s="55"/>
      <c r="Q1130" s="55"/>
      <c r="R1130" s="55"/>
      <c r="S1130" s="55"/>
      <c r="T1130" s="55"/>
      <c r="U1130" s="55"/>
      <c r="V1130" s="55"/>
      <c r="W1130" s="55"/>
      <c r="X1130" s="55"/>
      <c r="Y1130" s="55"/>
      <c r="Z1130" s="55"/>
      <c r="AA1130" s="55"/>
      <c r="AB1130" s="55"/>
      <c r="AC1130" s="55"/>
      <c r="AD1130" s="55"/>
      <c r="AE1130" s="55"/>
      <c r="AF1130" s="55"/>
      <c r="AG1130" s="55"/>
      <c r="AH1130" s="55"/>
      <c r="AI1130" s="55"/>
      <c r="AJ1130" s="55"/>
      <c r="AK1130" s="55"/>
      <c r="AL1130" s="55"/>
      <c r="AM1130" s="55"/>
      <c r="AN1130" s="55"/>
      <c r="AO1130" s="55"/>
      <c r="AP1130" s="55"/>
      <c r="AQ1130" s="55"/>
      <c r="AR1130" s="55"/>
      <c r="AS1130" s="55"/>
      <c r="AT1130" s="55"/>
      <c r="AU1130" s="55"/>
    </row>
    <row r="1131" spans="1:47" ht="15.75" customHeight="1">
      <c r="A1131" s="56">
        <v>44932</v>
      </c>
      <c r="B1131" s="57" t="s">
        <v>1386</v>
      </c>
      <c r="C1131" s="46" t="s">
        <v>14</v>
      </c>
      <c r="D1131" s="46" t="s">
        <v>861</v>
      </c>
      <c r="E1131" s="58">
        <v>39735.11</v>
      </c>
      <c r="F1131" s="82" t="s">
        <v>1210</v>
      </c>
      <c r="G1131" s="82" t="s">
        <v>11</v>
      </c>
      <c r="H1131" s="82" t="s">
        <v>17</v>
      </c>
      <c r="I1131" s="82" t="s">
        <v>26</v>
      </c>
      <c r="J1131" s="81">
        <v>44645</v>
      </c>
      <c r="K1131" s="12" t="s">
        <v>298</v>
      </c>
      <c r="L1131" s="55"/>
      <c r="M1131" s="55"/>
      <c r="N1131" s="55"/>
      <c r="O1131" s="55"/>
      <c r="P1131" s="55"/>
      <c r="Q1131" s="55"/>
      <c r="R1131" s="55"/>
      <c r="S1131" s="55"/>
      <c r="T1131" s="55"/>
      <c r="U1131" s="55"/>
      <c r="V1131" s="55"/>
      <c r="W1131" s="55"/>
      <c r="X1131" s="55"/>
      <c r="Y1131" s="55"/>
      <c r="Z1131" s="55"/>
      <c r="AA1131" s="55"/>
      <c r="AB1131" s="55"/>
      <c r="AC1131" s="55"/>
      <c r="AD1131" s="55"/>
      <c r="AE1131" s="55"/>
      <c r="AF1131" s="55"/>
      <c r="AG1131" s="55"/>
      <c r="AH1131" s="55"/>
      <c r="AI1131" s="55"/>
      <c r="AJ1131" s="55"/>
      <c r="AK1131" s="55"/>
      <c r="AL1131" s="55"/>
      <c r="AM1131" s="55"/>
      <c r="AN1131" s="55"/>
      <c r="AO1131" s="55"/>
      <c r="AP1131" s="55"/>
      <c r="AQ1131" s="55"/>
      <c r="AR1131" s="55"/>
      <c r="AS1131" s="55"/>
      <c r="AT1131" s="55"/>
      <c r="AU1131" s="55"/>
    </row>
    <row r="1132" spans="1:47" ht="15.75" customHeight="1">
      <c r="A1132" s="56">
        <v>44565</v>
      </c>
      <c r="B1132" s="57" t="s">
        <v>1295</v>
      </c>
      <c r="C1132" s="46" t="s">
        <v>14</v>
      </c>
      <c r="D1132" s="46" t="s">
        <v>861</v>
      </c>
      <c r="E1132" s="58">
        <v>18000</v>
      </c>
      <c r="F1132" s="46" t="s">
        <v>463</v>
      </c>
      <c r="G1132" s="46" t="s">
        <v>11</v>
      </c>
      <c r="H1132" s="46" t="s">
        <v>12</v>
      </c>
      <c r="I1132" s="46" t="s">
        <v>125</v>
      </c>
      <c r="J1132" s="56">
        <v>44393</v>
      </c>
      <c r="K1132" s="46" t="s">
        <v>295</v>
      </c>
      <c r="L1132" s="55"/>
      <c r="M1132" s="55"/>
      <c r="N1132" s="55"/>
      <c r="O1132" s="55"/>
      <c r="P1132" s="55"/>
      <c r="Q1132" s="55"/>
      <c r="R1132" s="55"/>
      <c r="S1132" s="55"/>
      <c r="T1132" s="55"/>
      <c r="U1132" s="55"/>
      <c r="V1132" s="55"/>
      <c r="W1132" s="55"/>
      <c r="X1132" s="55"/>
      <c r="Y1132" s="55"/>
      <c r="Z1132" s="55"/>
      <c r="AA1132" s="55"/>
      <c r="AB1132" s="55"/>
      <c r="AC1132" s="55"/>
      <c r="AD1132" s="55"/>
      <c r="AE1132" s="55"/>
      <c r="AF1132" s="55"/>
      <c r="AG1132" s="55"/>
      <c r="AH1132" s="55"/>
      <c r="AI1132" s="55"/>
      <c r="AJ1132" s="55"/>
      <c r="AK1132" s="55"/>
      <c r="AL1132" s="55"/>
      <c r="AM1132" s="55"/>
      <c r="AN1132" s="55"/>
      <c r="AO1132" s="55"/>
      <c r="AP1132" s="55"/>
      <c r="AQ1132" s="55"/>
      <c r="AR1132" s="55"/>
      <c r="AS1132" s="55"/>
      <c r="AT1132" s="55"/>
      <c r="AU1132" s="55"/>
    </row>
    <row r="1133" spans="1:47" ht="15.75" customHeight="1">
      <c r="A1133" s="56">
        <v>44935</v>
      </c>
      <c r="B1133" s="57" t="s">
        <v>79</v>
      </c>
      <c r="C1133" s="46" t="s">
        <v>8</v>
      </c>
      <c r="D1133" s="46" t="s">
        <v>861</v>
      </c>
      <c r="E1133" s="58">
        <v>51409.52</v>
      </c>
      <c r="F1133" s="46" t="s">
        <v>78</v>
      </c>
      <c r="G1133" s="46" t="s">
        <v>11</v>
      </c>
      <c r="H1133" s="46" t="s">
        <v>17</v>
      </c>
      <c r="I1133" s="46" t="s">
        <v>33</v>
      </c>
      <c r="J1133" s="56">
        <v>44951</v>
      </c>
      <c r="K1133" s="46" t="s">
        <v>301</v>
      </c>
      <c r="L1133" s="55"/>
      <c r="M1133" s="55"/>
      <c r="N1133" s="55"/>
      <c r="O1133" s="55"/>
      <c r="P1133" s="55"/>
      <c r="Q1133" s="55"/>
      <c r="R1133" s="55"/>
      <c r="S1133" s="55"/>
      <c r="T1133" s="55"/>
      <c r="U1133" s="55"/>
      <c r="V1133" s="55"/>
      <c r="W1133" s="55"/>
      <c r="X1133" s="55"/>
      <c r="Y1133" s="55"/>
      <c r="Z1133" s="55"/>
      <c r="AA1133" s="55"/>
      <c r="AB1133" s="55"/>
      <c r="AC1133" s="55"/>
      <c r="AD1133" s="55"/>
      <c r="AE1133" s="55"/>
      <c r="AF1133" s="55"/>
      <c r="AG1133" s="55"/>
      <c r="AH1133" s="55"/>
      <c r="AI1133" s="55"/>
      <c r="AJ1133" s="55"/>
      <c r="AK1133" s="55"/>
      <c r="AL1133" s="55"/>
      <c r="AM1133" s="55"/>
      <c r="AN1133" s="55"/>
      <c r="AO1133" s="55"/>
      <c r="AP1133" s="55"/>
      <c r="AQ1133" s="55"/>
      <c r="AR1133" s="55"/>
      <c r="AS1133" s="55"/>
      <c r="AT1133" s="55"/>
      <c r="AU1133" s="55"/>
    </row>
    <row r="1134" spans="1:47" ht="15.75" customHeight="1">
      <c r="A1134" s="56"/>
      <c r="B1134" s="57" t="s">
        <v>51</v>
      </c>
      <c r="C1134" s="46" t="s">
        <v>8</v>
      </c>
      <c r="D1134" s="46" t="s">
        <v>861</v>
      </c>
      <c r="E1134" s="58">
        <v>9000</v>
      </c>
      <c r="F1134" s="46" t="s">
        <v>1387</v>
      </c>
      <c r="G1134" s="46" t="s">
        <v>11</v>
      </c>
      <c r="H1134" s="46" t="s">
        <v>12</v>
      </c>
      <c r="I1134" s="46" t="s">
        <v>18</v>
      </c>
      <c r="J1134" s="56">
        <v>44888</v>
      </c>
      <c r="K1134" s="46" t="s">
        <v>301</v>
      </c>
      <c r="L1134" s="55"/>
      <c r="M1134" s="55"/>
      <c r="N1134" s="55"/>
      <c r="O1134" s="55"/>
      <c r="P1134" s="55"/>
      <c r="Q1134" s="55"/>
      <c r="R1134" s="55"/>
      <c r="S1134" s="55"/>
      <c r="T1134" s="55"/>
      <c r="U1134" s="55"/>
      <c r="V1134" s="55"/>
      <c r="W1134" s="55"/>
      <c r="X1134" s="55"/>
      <c r="Y1134" s="55"/>
      <c r="Z1134" s="55"/>
      <c r="AA1134" s="55"/>
      <c r="AB1134" s="55"/>
      <c r="AC1134" s="55"/>
      <c r="AD1134" s="55"/>
      <c r="AE1134" s="55"/>
      <c r="AF1134" s="55"/>
      <c r="AG1134" s="55"/>
      <c r="AH1134" s="55"/>
      <c r="AI1134" s="55"/>
      <c r="AJ1134" s="55"/>
      <c r="AK1134" s="55"/>
      <c r="AL1134" s="55"/>
      <c r="AM1134" s="55"/>
      <c r="AN1134" s="55"/>
      <c r="AO1134" s="55"/>
      <c r="AP1134" s="55"/>
      <c r="AQ1134" s="55"/>
      <c r="AR1134" s="55"/>
      <c r="AS1134" s="55"/>
      <c r="AT1134" s="55"/>
      <c r="AU1134" s="55"/>
    </row>
    <row r="1135" spans="1:47" ht="15.75" customHeight="1">
      <c r="A1135" s="56">
        <v>44565</v>
      </c>
      <c r="B1135" s="57" t="s">
        <v>1295</v>
      </c>
      <c r="C1135" s="46" t="s">
        <v>14</v>
      </c>
      <c r="D1135" s="46" t="s">
        <v>861</v>
      </c>
      <c r="E1135" s="58">
        <v>9500</v>
      </c>
      <c r="F1135" s="46" t="s">
        <v>463</v>
      </c>
      <c r="G1135" s="46" t="s">
        <v>11</v>
      </c>
      <c r="H1135" s="46" t="s">
        <v>12</v>
      </c>
      <c r="I1135" s="46" t="s">
        <v>125</v>
      </c>
      <c r="J1135" s="56">
        <v>44393</v>
      </c>
      <c r="K1135" s="46" t="s">
        <v>295</v>
      </c>
      <c r="L1135" s="55"/>
      <c r="M1135" s="55"/>
      <c r="N1135" s="55"/>
      <c r="O1135" s="55"/>
      <c r="P1135" s="55"/>
      <c r="Q1135" s="55"/>
      <c r="R1135" s="55"/>
      <c r="S1135" s="55"/>
      <c r="T1135" s="55"/>
      <c r="U1135" s="55"/>
      <c r="V1135" s="55"/>
      <c r="W1135" s="55"/>
      <c r="X1135" s="55"/>
      <c r="Y1135" s="55"/>
      <c r="Z1135" s="55"/>
      <c r="AA1135" s="55"/>
      <c r="AB1135" s="55"/>
      <c r="AC1135" s="55"/>
      <c r="AD1135" s="55"/>
      <c r="AE1135" s="55"/>
      <c r="AF1135" s="55"/>
      <c r="AG1135" s="55"/>
      <c r="AH1135" s="55"/>
      <c r="AI1135" s="55"/>
      <c r="AJ1135" s="55"/>
      <c r="AK1135" s="55"/>
      <c r="AL1135" s="55"/>
      <c r="AM1135" s="55"/>
      <c r="AN1135" s="55"/>
      <c r="AO1135" s="55"/>
      <c r="AP1135" s="55"/>
      <c r="AQ1135" s="55"/>
      <c r="AR1135" s="55"/>
      <c r="AS1135" s="55"/>
      <c r="AT1135" s="55"/>
      <c r="AU1135" s="55"/>
    </row>
    <row r="1136" spans="1:47" ht="15.75" customHeight="1">
      <c r="A1136" s="56">
        <v>44937</v>
      </c>
      <c r="B1136" s="57" t="s">
        <v>124</v>
      </c>
      <c r="C1136" s="46" t="s">
        <v>120</v>
      </c>
      <c r="D1136" s="46" t="s">
        <v>861</v>
      </c>
      <c r="E1136" s="58">
        <v>10000</v>
      </c>
      <c r="F1136" s="46" t="s">
        <v>1388</v>
      </c>
      <c r="G1136" s="46" t="s">
        <v>11</v>
      </c>
      <c r="H1136" s="46" t="s">
        <v>12</v>
      </c>
      <c r="I1136" s="46" t="s">
        <v>125</v>
      </c>
      <c r="J1136" s="56">
        <v>43934</v>
      </c>
      <c r="K1136" s="46" t="s">
        <v>295</v>
      </c>
      <c r="L1136" s="55"/>
      <c r="M1136" s="55"/>
      <c r="N1136" s="55"/>
      <c r="O1136" s="55"/>
      <c r="P1136" s="55"/>
      <c r="Q1136" s="55"/>
      <c r="R1136" s="55"/>
      <c r="S1136" s="55"/>
      <c r="T1136" s="55"/>
      <c r="U1136" s="55"/>
      <c r="V1136" s="55"/>
      <c r="W1136" s="55"/>
      <c r="X1136" s="55"/>
      <c r="Y1136" s="55"/>
      <c r="Z1136" s="55"/>
      <c r="AA1136" s="55"/>
      <c r="AB1136" s="55"/>
      <c r="AC1136" s="55"/>
      <c r="AD1136" s="55"/>
      <c r="AE1136" s="55"/>
      <c r="AF1136" s="55"/>
      <c r="AG1136" s="55"/>
      <c r="AH1136" s="55"/>
      <c r="AI1136" s="55"/>
      <c r="AJ1136" s="55"/>
      <c r="AK1136" s="55"/>
      <c r="AL1136" s="55"/>
      <c r="AM1136" s="55"/>
      <c r="AN1136" s="55"/>
      <c r="AO1136" s="55"/>
      <c r="AP1136" s="55"/>
      <c r="AQ1136" s="55"/>
      <c r="AR1136" s="55"/>
      <c r="AS1136" s="55"/>
      <c r="AT1136" s="55"/>
      <c r="AU1136" s="55"/>
    </row>
    <row r="1137" spans="1:47" ht="15.75" customHeight="1">
      <c r="A1137" s="56">
        <v>44935</v>
      </c>
      <c r="B1137" s="57" t="s">
        <v>1389</v>
      </c>
      <c r="C1137" s="46" t="s">
        <v>14</v>
      </c>
      <c r="D1137" s="46" t="s">
        <v>54</v>
      </c>
      <c r="E1137" s="58" t="s">
        <v>1390</v>
      </c>
      <c r="F1137" s="50" t="s">
        <v>563</v>
      </c>
      <c r="G1137" s="46" t="s">
        <v>11</v>
      </c>
      <c r="H1137" s="46" t="s">
        <v>17</v>
      </c>
      <c r="I1137" s="46" t="s">
        <v>35</v>
      </c>
      <c r="J1137" s="46" t="s">
        <v>148</v>
      </c>
      <c r="K1137" s="46" t="s">
        <v>298</v>
      </c>
      <c r="L1137" s="55"/>
      <c r="M1137" s="55"/>
      <c r="N1137" s="55"/>
      <c r="O1137" s="55"/>
      <c r="P1137" s="55"/>
      <c r="Q1137" s="55"/>
      <c r="R1137" s="55"/>
      <c r="S1137" s="55"/>
      <c r="T1137" s="55"/>
      <c r="U1137" s="55"/>
      <c r="V1137" s="55"/>
      <c r="W1137" s="55"/>
      <c r="X1137" s="55"/>
      <c r="Y1137" s="55"/>
      <c r="Z1137" s="55"/>
      <c r="AA1137" s="55"/>
      <c r="AB1137" s="55"/>
      <c r="AC1137" s="55"/>
      <c r="AD1137" s="55"/>
      <c r="AE1137" s="55"/>
      <c r="AF1137" s="55"/>
      <c r="AG1137" s="55"/>
      <c r="AH1137" s="55"/>
      <c r="AI1137" s="55"/>
      <c r="AJ1137" s="55"/>
      <c r="AK1137" s="55"/>
      <c r="AL1137" s="55"/>
      <c r="AM1137" s="55"/>
      <c r="AN1137" s="55"/>
      <c r="AO1137" s="55"/>
      <c r="AP1137" s="55"/>
      <c r="AQ1137" s="55"/>
      <c r="AR1137" s="55"/>
      <c r="AS1137" s="55"/>
      <c r="AT1137" s="55"/>
      <c r="AU1137" s="55"/>
    </row>
    <row r="1138" spans="1:47" ht="15.75" customHeight="1">
      <c r="A1138" s="56">
        <v>44949</v>
      </c>
      <c r="B1138" s="57" t="s">
        <v>1280</v>
      </c>
      <c r="C1138" s="46" t="s">
        <v>14</v>
      </c>
      <c r="D1138" s="46" t="s">
        <v>54</v>
      </c>
      <c r="E1138" s="58">
        <v>4119326.59</v>
      </c>
      <c r="F1138" s="46" t="s">
        <v>68</v>
      </c>
      <c r="G1138" s="82" t="s">
        <v>11</v>
      </c>
      <c r="H1138" s="82" t="s">
        <v>17</v>
      </c>
      <c r="I1138" s="82" t="s">
        <v>28</v>
      </c>
      <c r="J1138" s="81">
        <v>44568</v>
      </c>
      <c r="K1138" s="12" t="s">
        <v>432</v>
      </c>
      <c r="L1138" s="55"/>
      <c r="M1138" s="55"/>
      <c r="N1138" s="55"/>
      <c r="O1138" s="55"/>
      <c r="P1138" s="55"/>
      <c r="Q1138" s="55"/>
      <c r="R1138" s="55"/>
      <c r="S1138" s="55"/>
      <c r="T1138" s="55"/>
      <c r="U1138" s="55"/>
      <c r="V1138" s="55"/>
      <c r="W1138" s="55"/>
      <c r="X1138" s="55"/>
      <c r="Y1138" s="55"/>
      <c r="Z1138" s="55"/>
      <c r="AA1138" s="55"/>
      <c r="AB1138" s="55"/>
      <c r="AC1138" s="55"/>
      <c r="AD1138" s="55"/>
      <c r="AE1138" s="55"/>
      <c r="AF1138" s="55"/>
      <c r="AG1138" s="55"/>
      <c r="AH1138" s="55"/>
      <c r="AI1138" s="55"/>
      <c r="AJ1138" s="55"/>
      <c r="AK1138" s="55"/>
      <c r="AL1138" s="55"/>
      <c r="AM1138" s="55"/>
      <c r="AN1138" s="55"/>
      <c r="AO1138" s="55"/>
      <c r="AP1138" s="55"/>
      <c r="AQ1138" s="55"/>
      <c r="AR1138" s="55"/>
      <c r="AS1138" s="55"/>
      <c r="AT1138" s="55"/>
      <c r="AU1138" s="55"/>
    </row>
    <row r="1139" spans="1:47" ht="15.75" customHeight="1">
      <c r="A1139" s="56">
        <v>44931</v>
      </c>
      <c r="B1139" s="129" t="s">
        <v>962</v>
      </c>
      <c r="C1139" s="46" t="s">
        <v>14</v>
      </c>
      <c r="D1139" s="46" t="s">
        <v>54</v>
      </c>
      <c r="E1139" s="58">
        <v>97046.39</v>
      </c>
      <c r="F1139" s="49" t="s">
        <v>520</v>
      </c>
      <c r="G1139" s="46" t="s">
        <v>24</v>
      </c>
      <c r="H1139" s="46" t="s">
        <v>12</v>
      </c>
      <c r="I1139" s="46" t="s">
        <v>316</v>
      </c>
      <c r="J1139" s="56">
        <v>44180</v>
      </c>
      <c r="K1139" s="46" t="s">
        <v>298</v>
      </c>
      <c r="L1139" s="55"/>
      <c r="M1139" s="55"/>
      <c r="N1139" s="55"/>
      <c r="O1139" s="55"/>
      <c r="P1139" s="55"/>
      <c r="Q1139" s="55"/>
      <c r="R1139" s="55"/>
      <c r="S1139" s="55"/>
      <c r="T1139" s="55"/>
      <c r="U1139" s="55"/>
      <c r="V1139" s="55"/>
      <c r="W1139" s="55"/>
      <c r="X1139" s="55"/>
      <c r="Y1139" s="55"/>
      <c r="Z1139" s="55"/>
      <c r="AA1139" s="55"/>
      <c r="AB1139" s="55"/>
      <c r="AC1139" s="55"/>
      <c r="AD1139" s="55"/>
      <c r="AE1139" s="55"/>
      <c r="AF1139" s="55"/>
      <c r="AG1139" s="55"/>
      <c r="AH1139" s="55"/>
      <c r="AI1139" s="55"/>
      <c r="AJ1139" s="55"/>
      <c r="AK1139" s="55"/>
      <c r="AL1139" s="55"/>
      <c r="AM1139" s="55"/>
      <c r="AN1139" s="55"/>
      <c r="AO1139" s="55"/>
      <c r="AP1139" s="55"/>
      <c r="AQ1139" s="55"/>
      <c r="AR1139" s="55"/>
      <c r="AS1139" s="55"/>
      <c r="AT1139" s="55"/>
      <c r="AU1139" s="55"/>
    </row>
    <row r="1140" spans="1:47" ht="15.75" customHeight="1">
      <c r="A1140" s="56">
        <v>44938</v>
      </c>
      <c r="B1140" s="57" t="s">
        <v>58</v>
      </c>
      <c r="C1140" s="46" t="s">
        <v>8</v>
      </c>
      <c r="D1140" s="46" t="s">
        <v>861</v>
      </c>
      <c r="E1140" s="58">
        <v>13092.93</v>
      </c>
      <c r="F1140" s="46" t="s">
        <v>1391</v>
      </c>
      <c r="G1140" s="46" t="s">
        <v>11</v>
      </c>
      <c r="H1140" s="46" t="s">
        <v>17</v>
      </c>
      <c r="I1140" s="46" t="s">
        <v>35</v>
      </c>
      <c r="J1140" s="128">
        <v>44951</v>
      </c>
      <c r="K1140" s="46" t="s">
        <v>301</v>
      </c>
      <c r="L1140" s="55"/>
      <c r="M1140" s="55"/>
      <c r="N1140" s="55"/>
      <c r="O1140" s="55"/>
      <c r="P1140" s="55"/>
      <c r="Q1140" s="55"/>
      <c r="R1140" s="55"/>
      <c r="S1140" s="55"/>
      <c r="T1140" s="55"/>
      <c r="U1140" s="55"/>
      <c r="V1140" s="55"/>
      <c r="W1140" s="55"/>
      <c r="X1140" s="55"/>
      <c r="Y1140" s="55"/>
      <c r="Z1140" s="55"/>
      <c r="AA1140" s="55"/>
      <c r="AB1140" s="55"/>
      <c r="AC1140" s="55"/>
      <c r="AD1140" s="55"/>
      <c r="AE1140" s="55"/>
      <c r="AF1140" s="55"/>
      <c r="AG1140" s="55"/>
      <c r="AH1140" s="55"/>
      <c r="AI1140" s="55"/>
      <c r="AJ1140" s="55"/>
      <c r="AK1140" s="55"/>
      <c r="AL1140" s="55"/>
      <c r="AM1140" s="55"/>
      <c r="AN1140" s="55"/>
      <c r="AO1140" s="55"/>
      <c r="AP1140" s="55"/>
      <c r="AQ1140" s="55"/>
      <c r="AR1140" s="55"/>
      <c r="AS1140" s="55"/>
      <c r="AT1140" s="55"/>
      <c r="AU1140" s="55"/>
    </row>
    <row r="1141" spans="1:47" ht="15.75" customHeight="1">
      <c r="A1141" s="56">
        <v>44939</v>
      </c>
      <c r="B1141" s="57" t="s">
        <v>1357</v>
      </c>
      <c r="C1141" s="46" t="s">
        <v>14</v>
      </c>
      <c r="D1141" s="46" t="s">
        <v>861</v>
      </c>
      <c r="E1141" s="58">
        <v>1000</v>
      </c>
      <c r="F1141" s="46" t="s">
        <v>37</v>
      </c>
      <c r="G1141" s="46" t="s">
        <v>11</v>
      </c>
      <c r="H1141" s="46" t="s">
        <v>17</v>
      </c>
      <c r="I1141" s="46" t="s">
        <v>28</v>
      </c>
      <c r="J1141" s="128">
        <v>44767</v>
      </c>
      <c r="K1141" s="46" t="s">
        <v>301</v>
      </c>
      <c r="L1141" s="55"/>
      <c r="M1141" s="55"/>
      <c r="N1141" s="55"/>
      <c r="O1141" s="55"/>
      <c r="P1141" s="55"/>
      <c r="Q1141" s="55"/>
      <c r="R1141" s="55"/>
      <c r="S1141" s="55"/>
      <c r="T1141" s="55"/>
      <c r="U1141" s="55"/>
      <c r="V1141" s="55"/>
      <c r="W1141" s="55"/>
      <c r="X1141" s="55"/>
      <c r="Y1141" s="55"/>
      <c r="Z1141" s="55"/>
      <c r="AA1141" s="55"/>
      <c r="AB1141" s="55"/>
      <c r="AC1141" s="55"/>
      <c r="AD1141" s="55"/>
      <c r="AE1141" s="55"/>
      <c r="AF1141" s="55"/>
      <c r="AG1141" s="55"/>
      <c r="AH1141" s="55"/>
      <c r="AI1141" s="55"/>
      <c r="AJ1141" s="55"/>
      <c r="AK1141" s="55"/>
      <c r="AL1141" s="55"/>
      <c r="AM1141" s="55"/>
      <c r="AN1141" s="55"/>
      <c r="AO1141" s="55"/>
      <c r="AP1141" s="55"/>
      <c r="AQ1141" s="55"/>
      <c r="AR1141" s="55"/>
      <c r="AS1141" s="55"/>
      <c r="AT1141" s="55"/>
      <c r="AU1141" s="55"/>
    </row>
    <row r="1142" spans="1:47" ht="15.75" customHeight="1">
      <c r="A1142" s="75"/>
      <c r="B1142" s="66"/>
      <c r="C1142" s="73"/>
      <c r="D1142" s="73"/>
      <c r="E1142" s="65"/>
      <c r="F1142" s="75"/>
      <c r="G1142" s="75"/>
      <c r="H1142" s="75"/>
      <c r="I1142" s="75"/>
      <c r="J1142" s="75"/>
      <c r="K1142" s="75"/>
      <c r="L1142" s="55"/>
      <c r="M1142" s="55"/>
      <c r="N1142" s="55"/>
      <c r="O1142" s="55"/>
      <c r="P1142" s="55"/>
      <c r="Q1142" s="55"/>
      <c r="R1142" s="55"/>
      <c r="S1142" s="55"/>
      <c r="T1142" s="55"/>
      <c r="U1142" s="55"/>
      <c r="V1142" s="55"/>
      <c r="W1142" s="55"/>
      <c r="X1142" s="55"/>
      <c r="Y1142" s="55"/>
      <c r="Z1142" s="55"/>
      <c r="AA1142" s="55"/>
      <c r="AB1142" s="55"/>
      <c r="AC1142" s="55"/>
      <c r="AD1142" s="55"/>
      <c r="AE1142" s="55"/>
      <c r="AF1142" s="55"/>
      <c r="AG1142" s="55"/>
      <c r="AH1142" s="55"/>
      <c r="AI1142" s="55"/>
      <c r="AJ1142" s="55"/>
      <c r="AK1142" s="55"/>
      <c r="AL1142" s="55"/>
      <c r="AM1142" s="55"/>
      <c r="AN1142" s="55"/>
      <c r="AO1142" s="55"/>
      <c r="AP1142" s="55"/>
      <c r="AQ1142" s="55"/>
      <c r="AR1142" s="55"/>
      <c r="AS1142" s="55"/>
      <c r="AT1142" s="55"/>
      <c r="AU1142" s="55"/>
    </row>
    <row r="1143" spans="1:47" ht="15.75" customHeight="1">
      <c r="A1143" s="75"/>
      <c r="B1143" s="66"/>
      <c r="C1143" s="73"/>
      <c r="D1143" s="73"/>
      <c r="E1143" s="65"/>
      <c r="F1143" s="75"/>
      <c r="G1143" s="75"/>
      <c r="H1143" s="75"/>
      <c r="I1143" s="75"/>
      <c r="J1143" s="75"/>
      <c r="K1143" s="75"/>
      <c r="L1143" s="55"/>
      <c r="M1143" s="55"/>
      <c r="N1143" s="55"/>
      <c r="O1143" s="55"/>
      <c r="P1143" s="55"/>
      <c r="Q1143" s="55"/>
      <c r="R1143" s="55"/>
      <c r="S1143" s="55"/>
      <c r="T1143" s="55"/>
      <c r="U1143" s="55"/>
      <c r="V1143" s="55"/>
      <c r="W1143" s="55"/>
      <c r="X1143" s="55"/>
      <c r="Y1143" s="55"/>
      <c r="Z1143" s="55"/>
      <c r="AA1143" s="55"/>
      <c r="AB1143" s="55"/>
      <c r="AC1143" s="55"/>
      <c r="AD1143" s="55"/>
      <c r="AE1143" s="55"/>
      <c r="AF1143" s="55"/>
      <c r="AG1143" s="55"/>
      <c r="AH1143" s="55"/>
      <c r="AI1143" s="55"/>
      <c r="AJ1143" s="55"/>
      <c r="AK1143" s="55"/>
      <c r="AL1143" s="55"/>
      <c r="AM1143" s="55"/>
      <c r="AN1143" s="55"/>
      <c r="AO1143" s="55"/>
      <c r="AP1143" s="55"/>
      <c r="AQ1143" s="55"/>
      <c r="AR1143" s="55"/>
      <c r="AS1143" s="55"/>
      <c r="AT1143" s="55"/>
      <c r="AU1143" s="55"/>
    </row>
    <row r="1144" spans="1:47" ht="15.75" customHeight="1">
      <c r="A1144" s="75"/>
      <c r="B1144" s="66"/>
      <c r="C1144" s="73"/>
      <c r="D1144" s="73"/>
      <c r="E1144" s="65"/>
      <c r="F1144" s="75"/>
      <c r="G1144" s="75"/>
      <c r="H1144" s="75"/>
      <c r="I1144" s="75"/>
      <c r="J1144" s="75"/>
      <c r="K1144" s="75"/>
      <c r="L1144" s="55"/>
      <c r="M1144" s="55"/>
      <c r="N1144" s="55"/>
      <c r="O1144" s="55"/>
      <c r="P1144" s="55"/>
      <c r="Q1144" s="55"/>
      <c r="R1144" s="55"/>
      <c r="S1144" s="55"/>
      <c r="T1144" s="55"/>
      <c r="U1144" s="55"/>
      <c r="V1144" s="55"/>
      <c r="W1144" s="55"/>
      <c r="X1144" s="55"/>
      <c r="Y1144" s="55"/>
      <c r="Z1144" s="55"/>
      <c r="AA1144" s="55"/>
      <c r="AB1144" s="55"/>
      <c r="AC1144" s="55"/>
      <c r="AD1144" s="55"/>
      <c r="AE1144" s="55"/>
      <c r="AF1144" s="55"/>
      <c r="AG1144" s="55"/>
      <c r="AH1144" s="55"/>
      <c r="AI1144" s="55"/>
      <c r="AJ1144" s="55"/>
      <c r="AK1144" s="55"/>
      <c r="AL1144" s="55"/>
      <c r="AM1144" s="55"/>
      <c r="AN1144" s="55"/>
      <c r="AO1144" s="55"/>
      <c r="AP1144" s="55"/>
      <c r="AQ1144" s="55"/>
      <c r="AR1144" s="55"/>
      <c r="AS1144" s="55"/>
      <c r="AT1144" s="55"/>
      <c r="AU1144" s="55"/>
    </row>
    <row r="1145" spans="1:47" ht="15.75" customHeight="1">
      <c r="A1145" s="75"/>
      <c r="B1145" s="66"/>
      <c r="C1145" s="73"/>
      <c r="D1145" s="73"/>
      <c r="E1145" s="65"/>
      <c r="F1145" s="75"/>
      <c r="G1145" s="75"/>
      <c r="H1145" s="75"/>
      <c r="I1145" s="75"/>
      <c r="J1145" s="75"/>
      <c r="K1145" s="75"/>
      <c r="L1145" s="55"/>
      <c r="M1145" s="55"/>
      <c r="N1145" s="55"/>
      <c r="O1145" s="55"/>
      <c r="P1145" s="55"/>
      <c r="Q1145" s="55"/>
      <c r="R1145" s="55"/>
      <c r="S1145" s="55"/>
      <c r="T1145" s="55"/>
      <c r="U1145" s="55"/>
      <c r="V1145" s="55"/>
      <c r="W1145" s="55"/>
      <c r="X1145" s="55"/>
      <c r="Y1145" s="55"/>
      <c r="Z1145" s="55"/>
      <c r="AA1145" s="55"/>
      <c r="AB1145" s="55"/>
      <c r="AC1145" s="55"/>
      <c r="AD1145" s="55"/>
      <c r="AE1145" s="55"/>
      <c r="AF1145" s="55"/>
      <c r="AG1145" s="55"/>
      <c r="AH1145" s="55"/>
      <c r="AI1145" s="55"/>
      <c r="AJ1145" s="55"/>
      <c r="AK1145" s="55"/>
      <c r="AL1145" s="55"/>
      <c r="AM1145" s="55"/>
      <c r="AN1145" s="55"/>
      <c r="AO1145" s="55"/>
      <c r="AP1145" s="55"/>
      <c r="AQ1145" s="55"/>
      <c r="AR1145" s="55"/>
      <c r="AS1145" s="55"/>
      <c r="AT1145" s="55"/>
      <c r="AU1145" s="55"/>
    </row>
    <row r="1146" spans="1:47" ht="15.75" customHeight="1">
      <c r="A1146" s="75"/>
      <c r="B1146" s="66"/>
      <c r="C1146" s="73"/>
      <c r="D1146" s="73"/>
      <c r="E1146" s="65"/>
      <c r="F1146" s="75"/>
      <c r="G1146" s="75"/>
      <c r="H1146" s="75"/>
      <c r="I1146" s="75"/>
      <c r="J1146" s="75"/>
      <c r="K1146" s="75"/>
      <c r="L1146" s="55"/>
      <c r="M1146" s="55"/>
      <c r="N1146" s="55"/>
      <c r="O1146" s="55"/>
      <c r="P1146" s="55"/>
      <c r="Q1146" s="55"/>
      <c r="R1146" s="55"/>
      <c r="S1146" s="55"/>
      <c r="T1146" s="55"/>
      <c r="U1146" s="55"/>
      <c r="V1146" s="55"/>
      <c r="W1146" s="55"/>
      <c r="X1146" s="55"/>
      <c r="Y1146" s="55"/>
      <c r="Z1146" s="55"/>
      <c r="AA1146" s="55"/>
      <c r="AB1146" s="55"/>
      <c r="AC1146" s="55"/>
      <c r="AD1146" s="55"/>
      <c r="AE1146" s="55"/>
      <c r="AF1146" s="55"/>
      <c r="AG1146" s="55"/>
      <c r="AH1146" s="55"/>
      <c r="AI1146" s="55"/>
      <c r="AJ1146" s="55"/>
      <c r="AK1146" s="55"/>
      <c r="AL1146" s="55"/>
      <c r="AM1146" s="55"/>
      <c r="AN1146" s="55"/>
      <c r="AO1146" s="55"/>
      <c r="AP1146" s="55"/>
      <c r="AQ1146" s="55"/>
      <c r="AR1146" s="55"/>
      <c r="AS1146" s="55"/>
      <c r="AT1146" s="55"/>
      <c r="AU1146" s="55"/>
    </row>
    <row r="1147" spans="1:47" ht="15.75" customHeight="1">
      <c r="A1147" s="75"/>
      <c r="B1147" s="66"/>
      <c r="C1147" s="73"/>
      <c r="D1147" s="73"/>
      <c r="E1147" s="65"/>
      <c r="F1147" s="75"/>
      <c r="G1147" s="75"/>
      <c r="H1147" s="75"/>
      <c r="I1147" s="75"/>
      <c r="J1147" s="75"/>
      <c r="K1147" s="75"/>
      <c r="L1147" s="55"/>
      <c r="M1147" s="55"/>
      <c r="N1147" s="55"/>
      <c r="O1147" s="55"/>
      <c r="P1147" s="55"/>
      <c r="Q1147" s="55"/>
      <c r="R1147" s="55"/>
      <c r="S1147" s="55"/>
      <c r="T1147" s="55"/>
      <c r="U1147" s="55"/>
      <c r="V1147" s="55"/>
      <c r="W1147" s="55"/>
      <c r="X1147" s="55"/>
      <c r="Y1147" s="55"/>
      <c r="Z1147" s="55"/>
      <c r="AA1147" s="55"/>
      <c r="AB1147" s="55"/>
      <c r="AC1147" s="55"/>
      <c r="AD1147" s="55"/>
      <c r="AE1147" s="55"/>
      <c r="AF1147" s="55"/>
      <c r="AG1147" s="55"/>
      <c r="AH1147" s="55"/>
      <c r="AI1147" s="55"/>
      <c r="AJ1147" s="55"/>
      <c r="AK1147" s="55"/>
      <c r="AL1147" s="55"/>
      <c r="AM1147" s="55"/>
      <c r="AN1147" s="55"/>
      <c r="AO1147" s="55"/>
      <c r="AP1147" s="55"/>
      <c r="AQ1147" s="55"/>
      <c r="AR1147" s="55"/>
      <c r="AS1147" s="55"/>
      <c r="AT1147" s="55"/>
      <c r="AU1147" s="55"/>
    </row>
    <row r="1148" spans="1:47" ht="15.75" customHeight="1">
      <c r="A1148" s="75"/>
      <c r="B1148" s="66"/>
      <c r="C1148" s="73"/>
      <c r="D1148" s="73"/>
      <c r="E1148" s="65"/>
      <c r="F1148" s="75"/>
      <c r="G1148" s="75"/>
      <c r="H1148" s="75"/>
      <c r="I1148" s="75"/>
      <c r="J1148" s="75"/>
      <c r="K1148" s="75"/>
      <c r="L1148" s="55"/>
      <c r="M1148" s="55"/>
      <c r="N1148" s="55"/>
      <c r="O1148" s="55"/>
      <c r="P1148" s="55"/>
      <c r="Q1148" s="55"/>
      <c r="R1148" s="55"/>
      <c r="S1148" s="55"/>
      <c r="T1148" s="55"/>
      <c r="U1148" s="55"/>
      <c r="V1148" s="55"/>
      <c r="W1148" s="55"/>
      <c r="X1148" s="55"/>
      <c r="Y1148" s="55"/>
      <c r="Z1148" s="55"/>
      <c r="AA1148" s="55"/>
      <c r="AB1148" s="55"/>
      <c r="AC1148" s="55"/>
      <c r="AD1148" s="55"/>
      <c r="AE1148" s="55"/>
      <c r="AF1148" s="55"/>
      <c r="AG1148" s="55"/>
      <c r="AH1148" s="55"/>
      <c r="AI1148" s="55"/>
      <c r="AJ1148" s="55"/>
      <c r="AK1148" s="55"/>
      <c r="AL1148" s="55"/>
      <c r="AM1148" s="55"/>
      <c r="AN1148" s="55"/>
      <c r="AO1148" s="55"/>
      <c r="AP1148" s="55"/>
      <c r="AQ1148" s="55"/>
      <c r="AR1148" s="55"/>
      <c r="AS1148" s="55"/>
      <c r="AT1148" s="55"/>
      <c r="AU1148" s="55"/>
    </row>
    <row r="1149" spans="1:47" ht="15.75" customHeight="1">
      <c r="A1149" s="75"/>
      <c r="B1149" s="66"/>
      <c r="C1149" s="73"/>
      <c r="D1149" s="73"/>
      <c r="E1149" s="65"/>
      <c r="F1149" s="75"/>
      <c r="G1149" s="75"/>
      <c r="H1149" s="75"/>
      <c r="I1149" s="75"/>
      <c r="J1149" s="75"/>
      <c r="K1149" s="75"/>
      <c r="L1149" s="55"/>
      <c r="M1149" s="55"/>
      <c r="N1149" s="55"/>
      <c r="O1149" s="55"/>
      <c r="P1149" s="55"/>
      <c r="Q1149" s="55"/>
      <c r="R1149" s="55"/>
      <c r="S1149" s="55"/>
      <c r="T1149" s="55"/>
      <c r="U1149" s="55"/>
      <c r="V1149" s="55"/>
      <c r="W1149" s="55"/>
      <c r="X1149" s="55"/>
      <c r="Y1149" s="55"/>
      <c r="Z1149" s="55"/>
      <c r="AA1149" s="55"/>
      <c r="AB1149" s="55"/>
      <c r="AC1149" s="55"/>
      <c r="AD1149" s="55"/>
      <c r="AE1149" s="55"/>
      <c r="AF1149" s="55"/>
      <c r="AG1149" s="55"/>
      <c r="AH1149" s="55"/>
      <c r="AI1149" s="55"/>
      <c r="AJ1149" s="55"/>
      <c r="AK1149" s="55"/>
      <c r="AL1149" s="55"/>
      <c r="AM1149" s="55"/>
      <c r="AN1149" s="55"/>
      <c r="AO1149" s="55"/>
      <c r="AP1149" s="55"/>
      <c r="AQ1149" s="55"/>
      <c r="AR1149" s="55"/>
      <c r="AS1149" s="55"/>
      <c r="AT1149" s="55"/>
      <c r="AU1149" s="55"/>
    </row>
    <row r="1150" spans="1:47" ht="15.75" customHeight="1">
      <c r="A1150" s="75"/>
      <c r="B1150" s="66"/>
      <c r="C1150" s="73"/>
      <c r="D1150" s="73"/>
      <c r="E1150" s="65"/>
      <c r="F1150" s="75"/>
      <c r="G1150" s="75"/>
      <c r="H1150" s="75"/>
      <c r="I1150" s="75"/>
      <c r="J1150" s="75"/>
      <c r="K1150" s="75"/>
      <c r="L1150" s="55"/>
      <c r="M1150" s="55"/>
      <c r="N1150" s="55"/>
      <c r="O1150" s="55"/>
      <c r="P1150" s="55"/>
      <c r="Q1150" s="55"/>
      <c r="R1150" s="55"/>
      <c r="S1150" s="55"/>
      <c r="T1150" s="55"/>
      <c r="U1150" s="55"/>
      <c r="V1150" s="55"/>
      <c r="W1150" s="55"/>
      <c r="X1150" s="55"/>
      <c r="Y1150" s="55"/>
      <c r="Z1150" s="55"/>
      <c r="AA1150" s="55"/>
      <c r="AB1150" s="55"/>
      <c r="AC1150" s="55"/>
      <c r="AD1150" s="55"/>
      <c r="AE1150" s="55"/>
      <c r="AF1150" s="55"/>
      <c r="AG1150" s="55"/>
      <c r="AH1150" s="55"/>
      <c r="AI1150" s="55"/>
      <c r="AJ1150" s="55"/>
      <c r="AK1150" s="55"/>
      <c r="AL1150" s="55"/>
      <c r="AM1150" s="55"/>
      <c r="AN1150" s="55"/>
      <c r="AO1150" s="55"/>
      <c r="AP1150" s="55"/>
      <c r="AQ1150" s="55"/>
      <c r="AR1150" s="55"/>
      <c r="AS1150" s="55"/>
      <c r="AT1150" s="55"/>
      <c r="AU1150" s="55"/>
    </row>
    <row r="1151" spans="1:47" ht="15.75" customHeight="1">
      <c r="A1151" s="75"/>
      <c r="B1151" s="66"/>
      <c r="C1151" s="73"/>
      <c r="D1151" s="73"/>
      <c r="E1151" s="65"/>
      <c r="F1151" s="75"/>
      <c r="G1151" s="75"/>
      <c r="H1151" s="75"/>
      <c r="I1151" s="75"/>
      <c r="J1151" s="75"/>
      <c r="K1151" s="75"/>
      <c r="L1151" s="55"/>
      <c r="M1151" s="55"/>
      <c r="N1151" s="55"/>
      <c r="O1151" s="55"/>
      <c r="P1151" s="55"/>
      <c r="Q1151" s="55"/>
      <c r="R1151" s="55"/>
      <c r="S1151" s="55"/>
      <c r="T1151" s="55"/>
      <c r="U1151" s="55"/>
      <c r="V1151" s="55"/>
      <c r="W1151" s="55"/>
      <c r="X1151" s="55"/>
      <c r="Y1151" s="55"/>
      <c r="Z1151" s="55"/>
      <c r="AA1151" s="55"/>
      <c r="AB1151" s="55"/>
      <c r="AC1151" s="55"/>
      <c r="AD1151" s="55"/>
      <c r="AE1151" s="55"/>
      <c r="AF1151" s="55"/>
      <c r="AG1151" s="55"/>
      <c r="AH1151" s="55"/>
      <c r="AI1151" s="55"/>
      <c r="AJ1151" s="55"/>
      <c r="AK1151" s="55"/>
      <c r="AL1151" s="55"/>
      <c r="AM1151" s="55"/>
      <c r="AN1151" s="55"/>
      <c r="AO1151" s="55"/>
      <c r="AP1151" s="55"/>
      <c r="AQ1151" s="55"/>
      <c r="AR1151" s="55"/>
      <c r="AS1151" s="55"/>
      <c r="AT1151" s="55"/>
      <c r="AU1151" s="55"/>
    </row>
    <row r="1152" spans="1:47" ht="15.75" customHeight="1">
      <c r="A1152" s="75"/>
      <c r="B1152" s="66"/>
      <c r="C1152" s="73"/>
      <c r="D1152" s="73"/>
      <c r="E1152" s="65"/>
      <c r="F1152" s="75"/>
      <c r="G1152" s="75"/>
      <c r="H1152" s="75"/>
      <c r="I1152" s="75"/>
      <c r="J1152" s="75"/>
      <c r="K1152" s="75"/>
      <c r="L1152" s="55"/>
      <c r="M1152" s="55"/>
      <c r="N1152" s="55"/>
      <c r="O1152" s="55"/>
      <c r="P1152" s="55"/>
      <c r="Q1152" s="55"/>
      <c r="R1152" s="55"/>
      <c r="S1152" s="55"/>
      <c r="T1152" s="55"/>
      <c r="U1152" s="55"/>
      <c r="V1152" s="55"/>
      <c r="W1152" s="55"/>
      <c r="X1152" s="55"/>
      <c r="Y1152" s="55"/>
      <c r="Z1152" s="55"/>
      <c r="AA1152" s="55"/>
      <c r="AB1152" s="55"/>
      <c r="AC1152" s="55"/>
      <c r="AD1152" s="55"/>
      <c r="AE1152" s="55"/>
      <c r="AF1152" s="55"/>
      <c r="AG1152" s="55"/>
      <c r="AH1152" s="55"/>
      <c r="AI1152" s="55"/>
      <c r="AJ1152" s="55"/>
      <c r="AK1152" s="55"/>
      <c r="AL1152" s="55"/>
      <c r="AM1152" s="55"/>
      <c r="AN1152" s="55"/>
      <c r="AO1152" s="55"/>
      <c r="AP1152" s="55"/>
      <c r="AQ1152" s="55"/>
      <c r="AR1152" s="55"/>
      <c r="AS1152" s="55"/>
      <c r="AT1152" s="55"/>
      <c r="AU1152" s="55"/>
    </row>
    <row r="1153" spans="1:47" ht="15.75" customHeight="1">
      <c r="A1153" s="75"/>
      <c r="B1153" s="66"/>
      <c r="C1153" s="73"/>
      <c r="D1153" s="73"/>
      <c r="E1153" s="65"/>
      <c r="F1153" s="75"/>
      <c r="G1153" s="75"/>
      <c r="H1153" s="75"/>
      <c r="I1153" s="75"/>
      <c r="J1153" s="75"/>
      <c r="K1153" s="75"/>
      <c r="L1153" s="55"/>
      <c r="M1153" s="55"/>
      <c r="N1153" s="55"/>
      <c r="O1153" s="55"/>
      <c r="P1153" s="55"/>
      <c r="Q1153" s="55"/>
      <c r="R1153" s="55"/>
      <c r="S1153" s="55"/>
      <c r="T1153" s="55"/>
      <c r="U1153" s="55"/>
      <c r="V1153" s="55"/>
      <c r="W1153" s="55"/>
      <c r="X1153" s="55"/>
      <c r="Y1153" s="55"/>
      <c r="Z1153" s="55"/>
      <c r="AA1153" s="55"/>
      <c r="AB1153" s="55"/>
      <c r="AC1153" s="55"/>
      <c r="AD1153" s="55"/>
      <c r="AE1153" s="55"/>
      <c r="AF1153" s="55"/>
      <c r="AG1153" s="55"/>
      <c r="AH1153" s="55"/>
      <c r="AI1153" s="55"/>
      <c r="AJ1153" s="55"/>
      <c r="AK1153" s="55"/>
      <c r="AL1153" s="55"/>
      <c r="AM1153" s="55"/>
      <c r="AN1153" s="55"/>
      <c r="AO1153" s="55"/>
      <c r="AP1153" s="55"/>
      <c r="AQ1153" s="55"/>
      <c r="AR1153" s="55"/>
      <c r="AS1153" s="55"/>
      <c r="AT1153" s="55"/>
      <c r="AU1153" s="55"/>
    </row>
    <row r="1154" spans="1:47" ht="15.75" customHeight="1">
      <c r="A1154" s="75"/>
      <c r="B1154" s="66"/>
      <c r="C1154" s="73"/>
      <c r="D1154" s="73"/>
      <c r="E1154" s="65"/>
      <c r="F1154" s="75"/>
      <c r="G1154" s="75"/>
      <c r="H1154" s="75"/>
      <c r="I1154" s="75"/>
      <c r="J1154" s="75"/>
      <c r="K1154" s="75"/>
      <c r="L1154" s="55"/>
      <c r="M1154" s="55"/>
      <c r="N1154" s="55"/>
      <c r="O1154" s="55"/>
      <c r="P1154" s="55"/>
      <c r="Q1154" s="55"/>
      <c r="R1154" s="55"/>
      <c r="S1154" s="55"/>
      <c r="T1154" s="55"/>
      <c r="U1154" s="55"/>
      <c r="V1154" s="55"/>
      <c r="W1154" s="55"/>
      <c r="X1154" s="55"/>
      <c r="Y1154" s="55"/>
      <c r="Z1154" s="55"/>
      <c r="AA1154" s="55"/>
      <c r="AB1154" s="55"/>
      <c r="AC1154" s="55"/>
      <c r="AD1154" s="55"/>
      <c r="AE1154" s="55"/>
      <c r="AF1154" s="55"/>
      <c r="AG1154" s="55"/>
      <c r="AH1154" s="55"/>
      <c r="AI1154" s="55"/>
      <c r="AJ1154" s="55"/>
      <c r="AK1154" s="55"/>
      <c r="AL1154" s="55"/>
      <c r="AM1154" s="55"/>
      <c r="AN1154" s="55"/>
      <c r="AO1154" s="55"/>
      <c r="AP1154" s="55"/>
      <c r="AQ1154" s="55"/>
      <c r="AR1154" s="55"/>
      <c r="AS1154" s="55"/>
      <c r="AT1154" s="55"/>
      <c r="AU1154" s="55"/>
    </row>
    <row r="1155" spans="1:47" ht="15.75" customHeight="1">
      <c r="A1155" s="75"/>
      <c r="B1155" s="66"/>
      <c r="C1155" s="73"/>
      <c r="D1155" s="73"/>
      <c r="E1155" s="65"/>
      <c r="F1155" s="75"/>
      <c r="G1155" s="75"/>
      <c r="H1155" s="75"/>
      <c r="I1155" s="75"/>
      <c r="J1155" s="75"/>
      <c r="K1155" s="75"/>
      <c r="L1155" s="55"/>
      <c r="M1155" s="55"/>
      <c r="N1155" s="55"/>
      <c r="O1155" s="55"/>
      <c r="P1155" s="55"/>
      <c r="Q1155" s="55"/>
      <c r="R1155" s="55"/>
      <c r="S1155" s="55"/>
      <c r="T1155" s="55"/>
      <c r="U1155" s="55"/>
      <c r="V1155" s="55"/>
      <c r="W1155" s="55"/>
      <c r="X1155" s="55"/>
      <c r="Y1155" s="55"/>
      <c r="Z1155" s="55"/>
      <c r="AA1155" s="55"/>
      <c r="AB1155" s="55"/>
      <c r="AC1155" s="55"/>
      <c r="AD1155" s="55"/>
      <c r="AE1155" s="55"/>
      <c r="AF1155" s="55"/>
      <c r="AG1155" s="55"/>
      <c r="AH1155" s="55"/>
      <c r="AI1155" s="55"/>
      <c r="AJ1155" s="55"/>
      <c r="AK1155" s="55"/>
      <c r="AL1155" s="55"/>
      <c r="AM1155" s="55"/>
      <c r="AN1155" s="55"/>
      <c r="AO1155" s="55"/>
      <c r="AP1155" s="55"/>
      <c r="AQ1155" s="55"/>
      <c r="AR1155" s="55"/>
      <c r="AS1155" s="55"/>
      <c r="AT1155" s="55"/>
      <c r="AU1155" s="55"/>
    </row>
    <row r="1156" spans="1:47" ht="15.75" customHeight="1">
      <c r="A1156" s="75"/>
      <c r="B1156" s="66"/>
      <c r="C1156" s="73"/>
      <c r="D1156" s="73"/>
      <c r="E1156" s="65"/>
      <c r="F1156" s="75"/>
      <c r="G1156" s="75"/>
      <c r="H1156" s="75"/>
      <c r="I1156" s="75"/>
      <c r="J1156" s="75"/>
      <c r="K1156" s="75"/>
      <c r="L1156" s="55"/>
      <c r="M1156" s="55"/>
      <c r="N1156" s="55"/>
      <c r="O1156" s="55"/>
      <c r="P1156" s="55"/>
      <c r="Q1156" s="55"/>
      <c r="R1156" s="55"/>
      <c r="S1156" s="55"/>
      <c r="T1156" s="55"/>
      <c r="U1156" s="55"/>
      <c r="V1156" s="55"/>
      <c r="W1156" s="55"/>
      <c r="X1156" s="55"/>
      <c r="Y1156" s="55"/>
      <c r="Z1156" s="55"/>
      <c r="AA1156" s="55"/>
      <c r="AB1156" s="55"/>
      <c r="AC1156" s="55"/>
      <c r="AD1156" s="55"/>
      <c r="AE1156" s="55"/>
      <c r="AF1156" s="55"/>
      <c r="AG1156" s="55"/>
      <c r="AH1156" s="55"/>
      <c r="AI1156" s="55"/>
      <c r="AJ1156" s="55"/>
      <c r="AK1156" s="55"/>
      <c r="AL1156" s="55"/>
      <c r="AM1156" s="55"/>
      <c r="AN1156" s="55"/>
      <c r="AO1156" s="55"/>
      <c r="AP1156" s="55"/>
      <c r="AQ1156" s="55"/>
      <c r="AR1156" s="55"/>
      <c r="AS1156" s="55"/>
      <c r="AT1156" s="55"/>
      <c r="AU1156" s="55"/>
    </row>
    <row r="1157" spans="1:47" ht="15.75" customHeight="1">
      <c r="A1157" s="75"/>
      <c r="B1157" s="66"/>
      <c r="C1157" s="73"/>
      <c r="D1157" s="73"/>
      <c r="E1157" s="65"/>
      <c r="F1157" s="75"/>
      <c r="G1157" s="75"/>
      <c r="H1157" s="75"/>
      <c r="I1157" s="75"/>
      <c r="J1157" s="75"/>
      <c r="K1157" s="75"/>
      <c r="L1157" s="55"/>
      <c r="M1157" s="55"/>
      <c r="N1157" s="55"/>
      <c r="O1157" s="55"/>
      <c r="P1157" s="55"/>
      <c r="Q1157" s="55"/>
      <c r="R1157" s="55"/>
      <c r="S1157" s="55"/>
      <c r="T1157" s="55"/>
      <c r="U1157" s="55"/>
      <c r="V1157" s="55"/>
      <c r="W1157" s="55"/>
      <c r="X1157" s="55"/>
      <c r="Y1157" s="55"/>
      <c r="Z1157" s="55"/>
      <c r="AA1157" s="55"/>
      <c r="AB1157" s="55"/>
      <c r="AC1157" s="55"/>
      <c r="AD1157" s="55"/>
      <c r="AE1157" s="55"/>
      <c r="AF1157" s="55"/>
      <c r="AG1157" s="55"/>
      <c r="AH1157" s="55"/>
      <c r="AI1157" s="55"/>
      <c r="AJ1157" s="55"/>
      <c r="AK1157" s="55"/>
      <c r="AL1157" s="55"/>
      <c r="AM1157" s="55"/>
      <c r="AN1157" s="55"/>
      <c r="AO1157" s="55"/>
      <c r="AP1157" s="55"/>
      <c r="AQ1157" s="55"/>
      <c r="AR1157" s="55"/>
      <c r="AS1157" s="55"/>
      <c r="AT1157" s="55"/>
      <c r="AU1157" s="55"/>
    </row>
    <row r="1158" spans="1:47" ht="15.75" customHeight="1">
      <c r="A1158" s="75"/>
      <c r="B1158" s="66"/>
      <c r="C1158" s="73"/>
      <c r="D1158" s="73"/>
      <c r="E1158" s="65"/>
      <c r="F1158" s="75"/>
      <c r="G1158" s="75"/>
      <c r="H1158" s="75"/>
      <c r="I1158" s="75"/>
      <c r="J1158" s="75"/>
      <c r="K1158" s="75"/>
      <c r="L1158" s="55"/>
      <c r="M1158" s="55"/>
      <c r="N1158" s="55"/>
      <c r="O1158" s="55"/>
      <c r="P1158" s="55"/>
      <c r="Q1158" s="55"/>
      <c r="R1158" s="55"/>
      <c r="S1158" s="55"/>
      <c r="T1158" s="55"/>
      <c r="U1158" s="55"/>
      <c r="V1158" s="55"/>
      <c r="W1158" s="55"/>
      <c r="X1158" s="55"/>
      <c r="Y1158" s="55"/>
      <c r="Z1158" s="55"/>
      <c r="AA1158" s="55"/>
      <c r="AB1158" s="55"/>
      <c r="AC1158" s="55"/>
      <c r="AD1158" s="55"/>
      <c r="AE1158" s="55"/>
      <c r="AF1158" s="55"/>
      <c r="AG1158" s="55"/>
      <c r="AH1158" s="55"/>
      <c r="AI1158" s="55"/>
      <c r="AJ1158" s="55"/>
      <c r="AK1158" s="55"/>
      <c r="AL1158" s="55"/>
      <c r="AM1158" s="55"/>
      <c r="AN1158" s="55"/>
      <c r="AO1158" s="55"/>
      <c r="AP1158" s="55"/>
      <c r="AQ1158" s="55"/>
      <c r="AR1158" s="55"/>
      <c r="AS1158" s="55"/>
      <c r="AT1158" s="55"/>
      <c r="AU1158" s="55"/>
    </row>
    <row r="1159" spans="1:47" ht="15.75" customHeight="1">
      <c r="A1159" s="75"/>
      <c r="B1159" s="66"/>
      <c r="C1159" s="73"/>
      <c r="D1159" s="73"/>
      <c r="E1159" s="65"/>
      <c r="F1159" s="75"/>
      <c r="G1159" s="75"/>
      <c r="H1159" s="75"/>
      <c r="I1159" s="75"/>
      <c r="J1159" s="75"/>
      <c r="K1159" s="75"/>
      <c r="L1159" s="55"/>
      <c r="M1159" s="55"/>
      <c r="N1159" s="55"/>
      <c r="O1159" s="55"/>
      <c r="P1159" s="55"/>
      <c r="Q1159" s="55"/>
      <c r="R1159" s="55"/>
      <c r="S1159" s="55"/>
      <c r="T1159" s="55"/>
      <c r="U1159" s="55"/>
      <c r="V1159" s="55"/>
      <c r="W1159" s="55"/>
      <c r="X1159" s="55"/>
      <c r="Y1159" s="55"/>
      <c r="Z1159" s="55"/>
      <c r="AA1159" s="55"/>
      <c r="AB1159" s="55"/>
      <c r="AC1159" s="55"/>
      <c r="AD1159" s="55"/>
      <c r="AE1159" s="55"/>
      <c r="AF1159" s="55"/>
      <c r="AG1159" s="55"/>
      <c r="AH1159" s="55"/>
      <c r="AI1159" s="55"/>
      <c r="AJ1159" s="55"/>
      <c r="AK1159" s="55"/>
      <c r="AL1159" s="55"/>
      <c r="AM1159" s="55"/>
      <c r="AN1159" s="55"/>
      <c r="AO1159" s="55"/>
      <c r="AP1159" s="55"/>
      <c r="AQ1159" s="55"/>
      <c r="AR1159" s="55"/>
      <c r="AS1159" s="55"/>
      <c r="AT1159" s="55"/>
      <c r="AU1159" s="55"/>
    </row>
    <row r="1160" spans="1:47" ht="15.75" customHeight="1">
      <c r="A1160" s="75"/>
      <c r="B1160" s="66"/>
      <c r="C1160" s="73"/>
      <c r="D1160" s="73"/>
      <c r="E1160" s="65"/>
      <c r="F1160" s="75"/>
      <c r="G1160" s="75"/>
      <c r="H1160" s="75"/>
      <c r="I1160" s="75"/>
      <c r="J1160" s="75"/>
      <c r="K1160" s="75"/>
      <c r="L1160" s="55"/>
      <c r="M1160" s="55"/>
      <c r="N1160" s="55"/>
      <c r="O1160" s="55"/>
      <c r="P1160" s="55"/>
      <c r="Q1160" s="55"/>
      <c r="R1160" s="55"/>
      <c r="S1160" s="55"/>
      <c r="T1160" s="55"/>
      <c r="U1160" s="55"/>
      <c r="V1160" s="55"/>
      <c r="W1160" s="55"/>
      <c r="X1160" s="55"/>
      <c r="Y1160" s="55"/>
      <c r="Z1160" s="55"/>
      <c r="AA1160" s="55"/>
      <c r="AB1160" s="55"/>
      <c r="AC1160" s="55"/>
      <c r="AD1160" s="55"/>
      <c r="AE1160" s="55"/>
      <c r="AF1160" s="55"/>
      <c r="AG1160" s="55"/>
      <c r="AH1160" s="55"/>
      <c r="AI1160" s="55"/>
      <c r="AJ1160" s="55"/>
      <c r="AK1160" s="55"/>
      <c r="AL1160" s="55"/>
      <c r="AM1160" s="55"/>
      <c r="AN1160" s="55"/>
      <c r="AO1160" s="55"/>
      <c r="AP1160" s="55"/>
      <c r="AQ1160" s="55"/>
      <c r="AR1160" s="55"/>
      <c r="AS1160" s="55"/>
      <c r="AT1160" s="55"/>
      <c r="AU1160" s="55"/>
    </row>
    <row r="1161" spans="1:47" ht="15.75" customHeight="1">
      <c r="A1161" s="75"/>
      <c r="B1161" s="66"/>
      <c r="C1161" s="73"/>
      <c r="D1161" s="73"/>
      <c r="E1161" s="65"/>
      <c r="F1161" s="75"/>
      <c r="G1161" s="75"/>
      <c r="H1161" s="75"/>
      <c r="I1161" s="75"/>
      <c r="J1161" s="75"/>
      <c r="K1161" s="75"/>
      <c r="L1161" s="55"/>
      <c r="M1161" s="55"/>
      <c r="N1161" s="55"/>
      <c r="O1161" s="55"/>
      <c r="P1161" s="55"/>
      <c r="Q1161" s="55"/>
      <c r="R1161" s="55"/>
      <c r="S1161" s="55"/>
      <c r="T1161" s="55"/>
      <c r="U1161" s="55"/>
      <c r="V1161" s="55"/>
      <c r="W1161" s="55"/>
      <c r="X1161" s="55"/>
      <c r="Y1161" s="55"/>
      <c r="Z1161" s="55"/>
      <c r="AA1161" s="55"/>
      <c r="AB1161" s="55"/>
      <c r="AC1161" s="55"/>
      <c r="AD1161" s="55"/>
      <c r="AE1161" s="55"/>
      <c r="AF1161" s="55"/>
      <c r="AG1161" s="55"/>
      <c r="AH1161" s="55"/>
      <c r="AI1161" s="55"/>
      <c r="AJ1161" s="55"/>
      <c r="AK1161" s="55"/>
      <c r="AL1161" s="55"/>
      <c r="AM1161" s="55"/>
      <c r="AN1161" s="55"/>
      <c r="AO1161" s="55"/>
      <c r="AP1161" s="55"/>
      <c r="AQ1161" s="55"/>
      <c r="AR1161" s="55"/>
      <c r="AS1161" s="55"/>
      <c r="AT1161" s="55"/>
      <c r="AU1161" s="55"/>
    </row>
    <row r="1162" spans="1:47" ht="15.75" customHeight="1">
      <c r="A1162" s="75"/>
      <c r="B1162" s="66"/>
      <c r="C1162" s="73"/>
      <c r="D1162" s="73"/>
      <c r="E1162" s="65"/>
      <c r="F1162" s="75"/>
      <c r="G1162" s="75"/>
      <c r="H1162" s="75"/>
      <c r="I1162" s="75"/>
      <c r="J1162" s="75"/>
      <c r="K1162" s="75"/>
      <c r="L1162" s="55"/>
      <c r="M1162" s="55"/>
      <c r="N1162" s="55"/>
      <c r="O1162" s="55"/>
      <c r="P1162" s="55"/>
      <c r="Q1162" s="55"/>
      <c r="R1162" s="55"/>
      <c r="S1162" s="55"/>
      <c r="T1162" s="55"/>
      <c r="U1162" s="55"/>
      <c r="V1162" s="55"/>
      <c r="W1162" s="55"/>
      <c r="X1162" s="55"/>
      <c r="Y1162" s="55"/>
      <c r="Z1162" s="55"/>
      <c r="AA1162" s="55"/>
      <c r="AB1162" s="55"/>
      <c r="AC1162" s="55"/>
      <c r="AD1162" s="55"/>
      <c r="AE1162" s="55"/>
      <c r="AF1162" s="55"/>
      <c r="AG1162" s="55"/>
      <c r="AH1162" s="55"/>
      <c r="AI1162" s="55"/>
      <c r="AJ1162" s="55"/>
      <c r="AK1162" s="55"/>
      <c r="AL1162" s="55"/>
      <c r="AM1162" s="55"/>
      <c r="AN1162" s="55"/>
      <c r="AO1162" s="55"/>
      <c r="AP1162" s="55"/>
      <c r="AQ1162" s="55"/>
      <c r="AR1162" s="55"/>
      <c r="AS1162" s="55"/>
      <c r="AT1162" s="55"/>
      <c r="AU1162" s="55"/>
    </row>
    <row r="1163" spans="1:47" ht="15.75" customHeight="1">
      <c r="A1163" s="75"/>
      <c r="B1163" s="66"/>
      <c r="C1163" s="73"/>
      <c r="D1163" s="73"/>
      <c r="E1163" s="65"/>
      <c r="F1163" s="75"/>
      <c r="G1163" s="75"/>
      <c r="H1163" s="75"/>
      <c r="I1163" s="75"/>
      <c r="J1163" s="75"/>
      <c r="K1163" s="75"/>
      <c r="L1163" s="55"/>
      <c r="M1163" s="55"/>
      <c r="N1163" s="55"/>
      <c r="O1163" s="55"/>
      <c r="P1163" s="55"/>
      <c r="Q1163" s="55"/>
      <c r="R1163" s="55"/>
      <c r="S1163" s="55"/>
      <c r="T1163" s="55"/>
      <c r="U1163" s="55"/>
      <c r="V1163" s="55"/>
      <c r="W1163" s="55"/>
      <c r="X1163" s="55"/>
      <c r="Y1163" s="55"/>
      <c r="Z1163" s="55"/>
      <c r="AA1163" s="55"/>
      <c r="AB1163" s="55"/>
      <c r="AC1163" s="55"/>
      <c r="AD1163" s="55"/>
      <c r="AE1163" s="55"/>
      <c r="AF1163" s="55"/>
      <c r="AG1163" s="55"/>
      <c r="AH1163" s="55"/>
      <c r="AI1163" s="55"/>
      <c r="AJ1163" s="55"/>
      <c r="AK1163" s="55"/>
      <c r="AL1163" s="55"/>
      <c r="AM1163" s="55"/>
      <c r="AN1163" s="55"/>
      <c r="AO1163" s="55"/>
      <c r="AP1163" s="55"/>
      <c r="AQ1163" s="55"/>
      <c r="AR1163" s="55"/>
      <c r="AS1163" s="55"/>
      <c r="AT1163" s="55"/>
      <c r="AU1163" s="55"/>
    </row>
    <row r="1164" spans="1:47" ht="15.75" customHeight="1">
      <c r="A1164" s="75"/>
      <c r="B1164" s="66"/>
      <c r="C1164" s="73"/>
      <c r="D1164" s="73"/>
      <c r="E1164" s="65"/>
      <c r="F1164" s="75"/>
      <c r="G1164" s="75"/>
      <c r="H1164" s="75"/>
      <c r="I1164" s="75"/>
      <c r="J1164" s="75"/>
      <c r="K1164" s="75"/>
      <c r="L1164" s="55"/>
      <c r="M1164" s="55"/>
      <c r="N1164" s="55"/>
      <c r="O1164" s="55"/>
      <c r="P1164" s="55"/>
      <c r="Q1164" s="55"/>
      <c r="R1164" s="55"/>
      <c r="S1164" s="55"/>
      <c r="T1164" s="55"/>
      <c r="U1164" s="55"/>
      <c r="V1164" s="55"/>
      <c r="W1164" s="55"/>
      <c r="X1164" s="55"/>
      <c r="Y1164" s="55"/>
      <c r="Z1164" s="55"/>
      <c r="AA1164" s="55"/>
      <c r="AB1164" s="55"/>
      <c r="AC1164" s="55"/>
      <c r="AD1164" s="55"/>
      <c r="AE1164" s="55"/>
      <c r="AF1164" s="55"/>
      <c r="AG1164" s="55"/>
      <c r="AH1164" s="55"/>
      <c r="AI1164" s="55"/>
      <c r="AJ1164" s="55"/>
      <c r="AK1164" s="55"/>
      <c r="AL1164" s="55"/>
      <c r="AM1164" s="55"/>
      <c r="AN1164" s="55"/>
      <c r="AO1164" s="55"/>
      <c r="AP1164" s="55"/>
      <c r="AQ1164" s="55"/>
      <c r="AR1164" s="55"/>
      <c r="AS1164" s="55"/>
      <c r="AT1164" s="55"/>
      <c r="AU1164" s="55"/>
    </row>
    <row r="1165" spans="1:47" ht="15.75" customHeight="1">
      <c r="A1165" s="75"/>
      <c r="B1165" s="66"/>
      <c r="C1165" s="73"/>
      <c r="D1165" s="73"/>
      <c r="E1165" s="65"/>
      <c r="F1165" s="75"/>
      <c r="G1165" s="75"/>
      <c r="H1165" s="75"/>
      <c r="I1165" s="75"/>
      <c r="J1165" s="75"/>
      <c r="K1165" s="75"/>
      <c r="L1165" s="55"/>
      <c r="M1165" s="55"/>
      <c r="N1165" s="55"/>
      <c r="O1165" s="55"/>
      <c r="P1165" s="55"/>
      <c r="Q1165" s="55"/>
      <c r="R1165" s="55"/>
      <c r="S1165" s="55"/>
      <c r="T1165" s="55"/>
      <c r="U1165" s="55"/>
      <c r="V1165" s="55"/>
      <c r="W1165" s="55"/>
      <c r="X1165" s="55"/>
      <c r="Y1165" s="55"/>
      <c r="Z1165" s="55"/>
      <c r="AA1165" s="55"/>
      <c r="AB1165" s="55"/>
      <c r="AC1165" s="55"/>
      <c r="AD1165" s="55"/>
      <c r="AE1165" s="55"/>
      <c r="AF1165" s="55"/>
      <c r="AG1165" s="55"/>
      <c r="AH1165" s="55"/>
      <c r="AI1165" s="55"/>
      <c r="AJ1165" s="55"/>
      <c r="AK1165" s="55"/>
      <c r="AL1165" s="55"/>
      <c r="AM1165" s="55"/>
      <c r="AN1165" s="55"/>
      <c r="AO1165" s="55"/>
      <c r="AP1165" s="55"/>
      <c r="AQ1165" s="55"/>
      <c r="AR1165" s="55"/>
      <c r="AS1165" s="55"/>
      <c r="AT1165" s="55"/>
      <c r="AU1165" s="55"/>
    </row>
    <row r="1166" spans="1:47" ht="15.75" customHeight="1">
      <c r="A1166" s="75"/>
      <c r="B1166" s="66"/>
      <c r="C1166" s="73"/>
      <c r="D1166" s="73"/>
      <c r="E1166" s="65"/>
      <c r="F1166" s="75"/>
      <c r="G1166" s="75"/>
      <c r="H1166" s="75"/>
      <c r="I1166" s="75"/>
      <c r="J1166" s="75"/>
      <c r="K1166" s="75"/>
      <c r="L1166" s="55"/>
      <c r="M1166" s="55"/>
      <c r="N1166" s="55"/>
      <c r="O1166" s="55"/>
      <c r="P1166" s="55"/>
      <c r="Q1166" s="55"/>
      <c r="R1166" s="55"/>
      <c r="S1166" s="55"/>
      <c r="T1166" s="55"/>
      <c r="U1166" s="55"/>
      <c r="V1166" s="55"/>
      <c r="W1166" s="55"/>
      <c r="X1166" s="55"/>
      <c r="Y1166" s="55"/>
      <c r="Z1166" s="55"/>
      <c r="AA1166" s="55"/>
      <c r="AB1166" s="55"/>
      <c r="AC1166" s="55"/>
      <c r="AD1166" s="55"/>
      <c r="AE1166" s="55"/>
      <c r="AF1166" s="55"/>
      <c r="AG1166" s="55"/>
      <c r="AH1166" s="55"/>
      <c r="AI1166" s="55"/>
      <c r="AJ1166" s="55"/>
      <c r="AK1166" s="55"/>
      <c r="AL1166" s="55"/>
      <c r="AM1166" s="55"/>
      <c r="AN1166" s="55"/>
      <c r="AO1166" s="55"/>
      <c r="AP1166" s="55"/>
      <c r="AQ1166" s="55"/>
      <c r="AR1166" s="55"/>
      <c r="AS1166" s="55"/>
      <c r="AT1166" s="55"/>
      <c r="AU1166" s="55"/>
    </row>
    <row r="1167" spans="1:47" ht="15.75" customHeight="1">
      <c r="A1167" s="75"/>
      <c r="B1167" s="66"/>
      <c r="C1167" s="73"/>
      <c r="D1167" s="73"/>
      <c r="E1167" s="65"/>
      <c r="F1167" s="75"/>
      <c r="G1167" s="75"/>
      <c r="H1167" s="75"/>
      <c r="I1167" s="75"/>
      <c r="J1167" s="75"/>
      <c r="K1167" s="75"/>
      <c r="L1167" s="55"/>
      <c r="M1167" s="55"/>
      <c r="N1167" s="55"/>
      <c r="O1167" s="55"/>
      <c r="P1167" s="55"/>
      <c r="Q1167" s="55"/>
      <c r="R1167" s="55"/>
      <c r="S1167" s="55"/>
      <c r="T1167" s="55"/>
      <c r="U1167" s="55"/>
      <c r="V1167" s="55"/>
      <c r="W1167" s="55"/>
      <c r="X1167" s="55"/>
      <c r="Y1167" s="55"/>
      <c r="Z1167" s="55"/>
      <c r="AA1167" s="55"/>
      <c r="AB1167" s="55"/>
      <c r="AC1167" s="55"/>
      <c r="AD1167" s="55"/>
      <c r="AE1167" s="55"/>
      <c r="AF1167" s="55"/>
      <c r="AG1167" s="55"/>
      <c r="AH1167" s="55"/>
      <c r="AI1167" s="55"/>
      <c r="AJ1167" s="55"/>
      <c r="AK1167" s="55"/>
      <c r="AL1167" s="55"/>
      <c r="AM1167" s="55"/>
      <c r="AN1167" s="55"/>
      <c r="AO1167" s="55"/>
      <c r="AP1167" s="55"/>
      <c r="AQ1167" s="55"/>
      <c r="AR1167" s="55"/>
      <c r="AS1167" s="55"/>
      <c r="AT1167" s="55"/>
      <c r="AU1167" s="55"/>
    </row>
    <row r="1168" spans="1:47" ht="15.75" customHeight="1">
      <c r="A1168" s="75"/>
      <c r="B1168" s="66"/>
      <c r="C1168" s="73"/>
      <c r="D1168" s="73"/>
      <c r="E1168" s="65"/>
      <c r="F1168" s="75"/>
      <c r="G1168" s="75"/>
      <c r="H1168" s="75"/>
      <c r="I1168" s="75"/>
      <c r="J1168" s="75"/>
      <c r="K1168" s="75"/>
      <c r="L1168" s="55"/>
      <c r="M1168" s="55"/>
      <c r="N1168" s="55"/>
      <c r="O1168" s="55"/>
      <c r="P1168" s="55"/>
      <c r="Q1168" s="55"/>
      <c r="R1168" s="55"/>
      <c r="S1168" s="55"/>
      <c r="T1168" s="55"/>
      <c r="U1168" s="55"/>
      <c r="V1168" s="55"/>
      <c r="W1168" s="55"/>
      <c r="X1168" s="55"/>
      <c r="Y1168" s="55"/>
      <c r="Z1168" s="55"/>
      <c r="AA1168" s="55"/>
      <c r="AB1168" s="55"/>
      <c r="AC1168" s="55"/>
      <c r="AD1168" s="55"/>
      <c r="AE1168" s="55"/>
      <c r="AF1168" s="55"/>
      <c r="AG1168" s="55"/>
      <c r="AH1168" s="55"/>
      <c r="AI1168" s="55"/>
      <c r="AJ1168" s="55"/>
      <c r="AK1168" s="55"/>
      <c r="AL1168" s="55"/>
      <c r="AM1168" s="55"/>
      <c r="AN1168" s="55"/>
      <c r="AO1168" s="55"/>
      <c r="AP1168" s="55"/>
      <c r="AQ1168" s="55"/>
      <c r="AR1168" s="55"/>
      <c r="AS1168" s="55"/>
      <c r="AT1168" s="55"/>
      <c r="AU1168" s="55"/>
    </row>
    <row r="1169" spans="1:47" ht="15.75" customHeight="1">
      <c r="A1169" s="75"/>
      <c r="B1169" s="66"/>
      <c r="C1169" s="73"/>
      <c r="D1169" s="73"/>
      <c r="E1169" s="65"/>
      <c r="F1169" s="75"/>
      <c r="G1169" s="75"/>
      <c r="H1169" s="75"/>
      <c r="I1169" s="75"/>
      <c r="J1169" s="75"/>
      <c r="K1169" s="75"/>
      <c r="L1169" s="55"/>
      <c r="M1169" s="55"/>
      <c r="N1169" s="55"/>
      <c r="O1169" s="55"/>
      <c r="P1169" s="55"/>
      <c r="Q1169" s="55"/>
      <c r="R1169" s="55"/>
      <c r="S1169" s="55"/>
      <c r="T1169" s="55"/>
      <c r="U1169" s="55"/>
      <c r="V1169" s="55"/>
      <c r="W1169" s="55"/>
      <c r="X1169" s="55"/>
      <c r="Y1169" s="55"/>
      <c r="Z1169" s="55"/>
      <c r="AA1169" s="55"/>
      <c r="AB1169" s="55"/>
      <c r="AC1169" s="55"/>
      <c r="AD1169" s="55"/>
      <c r="AE1169" s="55"/>
      <c r="AF1169" s="55"/>
      <c r="AG1169" s="55"/>
      <c r="AH1169" s="55"/>
      <c r="AI1169" s="55"/>
      <c r="AJ1169" s="55"/>
      <c r="AK1169" s="55"/>
      <c r="AL1169" s="55"/>
      <c r="AM1169" s="55"/>
      <c r="AN1169" s="55"/>
      <c r="AO1169" s="55"/>
      <c r="AP1169" s="55"/>
      <c r="AQ1169" s="55"/>
      <c r="AR1169" s="55"/>
      <c r="AS1169" s="55"/>
      <c r="AT1169" s="55"/>
      <c r="AU1169" s="55"/>
    </row>
    <row r="1170" spans="1:47" ht="15.75" customHeight="1">
      <c r="A1170" s="75"/>
      <c r="B1170" s="66"/>
      <c r="C1170" s="73"/>
      <c r="D1170" s="73"/>
      <c r="E1170" s="65"/>
      <c r="F1170" s="75"/>
      <c r="G1170" s="75"/>
      <c r="H1170" s="75"/>
      <c r="I1170" s="75"/>
      <c r="J1170" s="75"/>
      <c r="K1170" s="75"/>
      <c r="L1170" s="55"/>
      <c r="M1170" s="55"/>
      <c r="N1170" s="55"/>
      <c r="O1170" s="55"/>
      <c r="P1170" s="55"/>
      <c r="Q1170" s="55"/>
      <c r="R1170" s="55"/>
      <c r="S1170" s="55"/>
      <c r="T1170" s="55"/>
      <c r="U1170" s="55"/>
      <c r="V1170" s="55"/>
      <c r="W1170" s="55"/>
      <c r="X1170" s="55"/>
      <c r="Y1170" s="55"/>
      <c r="Z1170" s="55"/>
      <c r="AA1170" s="55"/>
      <c r="AB1170" s="55"/>
      <c r="AC1170" s="55"/>
      <c r="AD1170" s="55"/>
      <c r="AE1170" s="55"/>
      <c r="AF1170" s="55"/>
      <c r="AG1170" s="55"/>
      <c r="AH1170" s="55"/>
      <c r="AI1170" s="55"/>
      <c r="AJ1170" s="55"/>
      <c r="AK1170" s="55"/>
      <c r="AL1170" s="55"/>
      <c r="AM1170" s="55"/>
      <c r="AN1170" s="55"/>
      <c r="AO1170" s="55"/>
      <c r="AP1170" s="55"/>
      <c r="AQ1170" s="55"/>
      <c r="AR1170" s="55"/>
      <c r="AS1170" s="55"/>
      <c r="AT1170" s="55"/>
      <c r="AU1170" s="55"/>
    </row>
    <row r="1171" spans="1:47" ht="15.75" customHeight="1">
      <c r="A1171" s="75"/>
      <c r="B1171" s="66"/>
      <c r="C1171" s="73"/>
      <c r="D1171" s="73"/>
      <c r="E1171" s="65"/>
      <c r="F1171" s="75"/>
      <c r="G1171" s="75"/>
      <c r="H1171" s="75"/>
      <c r="I1171" s="75"/>
      <c r="J1171" s="75"/>
      <c r="K1171" s="75"/>
      <c r="L1171" s="55"/>
      <c r="M1171" s="55"/>
      <c r="N1171" s="55"/>
      <c r="O1171" s="55"/>
      <c r="P1171" s="55"/>
      <c r="Q1171" s="55"/>
      <c r="R1171" s="55"/>
      <c r="S1171" s="55"/>
      <c r="T1171" s="55"/>
      <c r="U1171" s="55"/>
      <c r="V1171" s="55"/>
      <c r="W1171" s="55"/>
      <c r="X1171" s="55"/>
      <c r="Y1171" s="55"/>
      <c r="Z1171" s="55"/>
      <c r="AA1171" s="55"/>
      <c r="AB1171" s="55"/>
      <c r="AC1171" s="55"/>
      <c r="AD1171" s="55"/>
      <c r="AE1171" s="55"/>
      <c r="AF1171" s="55"/>
      <c r="AG1171" s="55"/>
      <c r="AH1171" s="55"/>
      <c r="AI1171" s="55"/>
      <c r="AJ1171" s="55"/>
      <c r="AK1171" s="55"/>
      <c r="AL1171" s="55"/>
      <c r="AM1171" s="55"/>
      <c r="AN1171" s="55"/>
      <c r="AO1171" s="55"/>
      <c r="AP1171" s="55"/>
      <c r="AQ1171" s="55"/>
      <c r="AR1171" s="55"/>
      <c r="AS1171" s="55"/>
      <c r="AT1171" s="55"/>
      <c r="AU1171" s="55"/>
    </row>
    <row r="1172" spans="1:47" ht="15.75" customHeight="1">
      <c r="A1172" s="75"/>
      <c r="B1172" s="66"/>
      <c r="C1172" s="73"/>
      <c r="D1172" s="73"/>
      <c r="E1172" s="65"/>
      <c r="F1172" s="75"/>
      <c r="G1172" s="75"/>
      <c r="H1172" s="75"/>
      <c r="I1172" s="75"/>
      <c r="J1172" s="75"/>
      <c r="K1172" s="75"/>
      <c r="L1172" s="55"/>
      <c r="M1172" s="55"/>
      <c r="N1172" s="55"/>
      <c r="O1172" s="55"/>
      <c r="P1172" s="55"/>
      <c r="Q1172" s="55"/>
      <c r="R1172" s="55"/>
      <c r="S1172" s="55"/>
      <c r="T1172" s="55"/>
      <c r="U1172" s="55"/>
      <c r="V1172" s="55"/>
      <c r="W1172" s="55"/>
      <c r="X1172" s="55"/>
      <c r="Y1172" s="55"/>
      <c r="Z1172" s="55"/>
      <c r="AA1172" s="55"/>
      <c r="AB1172" s="55"/>
      <c r="AC1172" s="55"/>
      <c r="AD1172" s="55"/>
      <c r="AE1172" s="55"/>
      <c r="AF1172" s="55"/>
      <c r="AG1172" s="55"/>
      <c r="AH1172" s="55"/>
      <c r="AI1172" s="55"/>
      <c r="AJ1172" s="55"/>
      <c r="AK1172" s="55"/>
      <c r="AL1172" s="55"/>
      <c r="AM1172" s="55"/>
      <c r="AN1172" s="55"/>
      <c r="AO1172" s="55"/>
      <c r="AP1172" s="55"/>
      <c r="AQ1172" s="55"/>
      <c r="AR1172" s="55"/>
      <c r="AS1172" s="55"/>
      <c r="AT1172" s="55"/>
      <c r="AU1172" s="55"/>
    </row>
    <row r="1173" spans="1:47" ht="15.75" customHeight="1">
      <c r="A1173" s="75"/>
      <c r="B1173" s="66"/>
      <c r="C1173" s="73"/>
      <c r="D1173" s="73"/>
      <c r="E1173" s="65"/>
      <c r="F1173" s="75"/>
      <c r="G1173" s="75"/>
      <c r="H1173" s="75"/>
      <c r="I1173" s="75"/>
      <c r="J1173" s="75"/>
      <c r="K1173" s="75"/>
      <c r="L1173" s="55"/>
      <c r="M1173" s="55"/>
      <c r="N1173" s="55"/>
      <c r="O1173" s="55"/>
      <c r="P1173" s="55"/>
      <c r="Q1173" s="55"/>
      <c r="R1173" s="55"/>
      <c r="S1173" s="55"/>
      <c r="T1173" s="55"/>
      <c r="U1173" s="55"/>
      <c r="V1173" s="55"/>
      <c r="W1173" s="55"/>
      <c r="X1173" s="55"/>
      <c r="Y1173" s="55"/>
      <c r="Z1173" s="55"/>
      <c r="AA1173" s="55"/>
      <c r="AB1173" s="55"/>
      <c r="AC1173" s="55"/>
      <c r="AD1173" s="55"/>
      <c r="AE1173" s="55"/>
      <c r="AF1173" s="55"/>
      <c r="AG1173" s="55"/>
      <c r="AH1173" s="55"/>
      <c r="AI1173" s="55"/>
      <c r="AJ1173" s="55"/>
      <c r="AK1173" s="55"/>
      <c r="AL1173" s="55"/>
      <c r="AM1173" s="55"/>
      <c r="AN1173" s="55"/>
      <c r="AO1173" s="55"/>
      <c r="AP1173" s="55"/>
      <c r="AQ1173" s="55"/>
      <c r="AR1173" s="55"/>
      <c r="AS1173" s="55"/>
      <c r="AT1173" s="55"/>
      <c r="AU1173" s="55"/>
    </row>
    <row r="1174" spans="1:47" ht="15.75" customHeight="1">
      <c r="A1174" s="75"/>
      <c r="B1174" s="66"/>
      <c r="C1174" s="73"/>
      <c r="D1174" s="73"/>
      <c r="E1174" s="65"/>
      <c r="F1174" s="75"/>
      <c r="G1174" s="75"/>
      <c r="H1174" s="75"/>
      <c r="I1174" s="75"/>
      <c r="J1174" s="75"/>
      <c r="K1174" s="75"/>
      <c r="L1174" s="55"/>
      <c r="M1174" s="55"/>
      <c r="N1174" s="55"/>
      <c r="O1174" s="55"/>
      <c r="P1174" s="55"/>
      <c r="Q1174" s="55"/>
      <c r="R1174" s="55"/>
      <c r="S1174" s="55"/>
      <c r="T1174" s="55"/>
      <c r="U1174" s="55"/>
      <c r="V1174" s="55"/>
      <c r="W1174" s="55"/>
      <c r="X1174" s="55"/>
      <c r="Y1174" s="55"/>
      <c r="Z1174" s="55"/>
      <c r="AA1174" s="55"/>
      <c r="AB1174" s="55"/>
      <c r="AC1174" s="55"/>
      <c r="AD1174" s="55"/>
      <c r="AE1174" s="55"/>
      <c r="AF1174" s="55"/>
      <c r="AG1174" s="55"/>
      <c r="AH1174" s="55"/>
      <c r="AI1174" s="55"/>
      <c r="AJ1174" s="55"/>
      <c r="AK1174" s="55"/>
      <c r="AL1174" s="55"/>
      <c r="AM1174" s="55"/>
      <c r="AN1174" s="55"/>
      <c r="AO1174" s="55"/>
      <c r="AP1174" s="55"/>
      <c r="AQ1174" s="55"/>
      <c r="AR1174" s="55"/>
      <c r="AS1174" s="55"/>
      <c r="AT1174" s="55"/>
      <c r="AU1174" s="55"/>
    </row>
    <row r="1175" spans="1:47" ht="15.75" customHeight="1">
      <c r="A1175" s="75"/>
      <c r="B1175" s="66"/>
      <c r="C1175" s="73"/>
      <c r="D1175" s="73"/>
      <c r="E1175" s="65"/>
      <c r="F1175" s="75"/>
      <c r="G1175" s="75"/>
      <c r="H1175" s="75"/>
      <c r="I1175" s="75"/>
      <c r="J1175" s="75"/>
      <c r="K1175" s="75"/>
      <c r="L1175" s="55"/>
      <c r="M1175" s="55"/>
      <c r="N1175" s="55"/>
      <c r="O1175" s="55"/>
      <c r="P1175" s="55"/>
      <c r="Q1175" s="55"/>
      <c r="R1175" s="55"/>
      <c r="S1175" s="55"/>
      <c r="T1175" s="55"/>
      <c r="U1175" s="55"/>
      <c r="V1175" s="55"/>
      <c r="W1175" s="55"/>
      <c r="X1175" s="55"/>
      <c r="Y1175" s="55"/>
      <c r="Z1175" s="55"/>
      <c r="AA1175" s="55"/>
      <c r="AB1175" s="55"/>
      <c r="AC1175" s="55"/>
      <c r="AD1175" s="55"/>
      <c r="AE1175" s="55"/>
      <c r="AF1175" s="55"/>
      <c r="AG1175" s="55"/>
      <c r="AH1175" s="55"/>
      <c r="AI1175" s="55"/>
      <c r="AJ1175" s="55"/>
      <c r="AK1175" s="55"/>
      <c r="AL1175" s="55"/>
      <c r="AM1175" s="55"/>
      <c r="AN1175" s="55"/>
      <c r="AO1175" s="55"/>
      <c r="AP1175" s="55"/>
      <c r="AQ1175" s="55"/>
      <c r="AR1175" s="55"/>
      <c r="AS1175" s="55"/>
      <c r="AT1175" s="55"/>
      <c r="AU1175" s="55"/>
    </row>
    <row r="1176" spans="1:47" ht="15.75" customHeight="1">
      <c r="A1176" s="75"/>
      <c r="B1176" s="66"/>
      <c r="C1176" s="73"/>
      <c r="D1176" s="73"/>
      <c r="E1176" s="65"/>
      <c r="F1176" s="75"/>
      <c r="G1176" s="75"/>
      <c r="H1176" s="75"/>
      <c r="I1176" s="75"/>
      <c r="J1176" s="75"/>
      <c r="K1176" s="75"/>
      <c r="L1176" s="55"/>
      <c r="M1176" s="55"/>
      <c r="N1176" s="55"/>
      <c r="O1176" s="55"/>
      <c r="P1176" s="55"/>
      <c r="Q1176" s="55"/>
      <c r="R1176" s="55"/>
      <c r="S1176" s="55"/>
      <c r="T1176" s="55"/>
      <c r="U1176" s="55"/>
      <c r="V1176" s="55"/>
      <c r="W1176" s="55"/>
      <c r="X1176" s="55"/>
      <c r="Y1176" s="55"/>
      <c r="Z1176" s="55"/>
      <c r="AA1176" s="55"/>
      <c r="AB1176" s="55"/>
      <c r="AC1176" s="55"/>
      <c r="AD1176" s="55"/>
      <c r="AE1176" s="55"/>
      <c r="AF1176" s="55"/>
      <c r="AG1176" s="55"/>
      <c r="AH1176" s="55"/>
      <c r="AI1176" s="55"/>
      <c r="AJ1176" s="55"/>
      <c r="AK1176" s="55"/>
      <c r="AL1176" s="55"/>
      <c r="AM1176" s="55"/>
      <c r="AN1176" s="55"/>
      <c r="AO1176" s="55"/>
      <c r="AP1176" s="55"/>
      <c r="AQ1176" s="55"/>
      <c r="AR1176" s="55"/>
      <c r="AS1176" s="55"/>
      <c r="AT1176" s="55"/>
      <c r="AU1176" s="55"/>
    </row>
    <row r="1177" spans="1:47" ht="15.75" customHeight="1">
      <c r="A1177" s="75"/>
      <c r="B1177" s="66"/>
      <c r="C1177" s="73"/>
      <c r="D1177" s="73"/>
      <c r="E1177" s="65"/>
      <c r="F1177" s="75"/>
      <c r="G1177" s="75"/>
      <c r="H1177" s="75"/>
      <c r="I1177" s="75"/>
      <c r="J1177" s="75"/>
      <c r="K1177" s="75"/>
      <c r="L1177" s="55"/>
      <c r="M1177" s="55"/>
      <c r="N1177" s="55"/>
      <c r="O1177" s="55"/>
      <c r="P1177" s="55"/>
      <c r="Q1177" s="55"/>
      <c r="R1177" s="55"/>
      <c r="S1177" s="55"/>
      <c r="T1177" s="55"/>
      <c r="U1177" s="55"/>
      <c r="V1177" s="55"/>
      <c r="W1177" s="55"/>
      <c r="X1177" s="55"/>
      <c r="Y1177" s="55"/>
      <c r="Z1177" s="55"/>
      <c r="AA1177" s="55"/>
      <c r="AB1177" s="55"/>
      <c r="AC1177" s="55"/>
      <c r="AD1177" s="55"/>
      <c r="AE1177" s="55"/>
      <c r="AF1177" s="55"/>
      <c r="AG1177" s="55"/>
      <c r="AH1177" s="55"/>
      <c r="AI1177" s="55"/>
      <c r="AJ1177" s="55"/>
      <c r="AK1177" s="55"/>
      <c r="AL1177" s="55"/>
      <c r="AM1177" s="55"/>
      <c r="AN1177" s="55"/>
      <c r="AO1177" s="55"/>
      <c r="AP1177" s="55"/>
      <c r="AQ1177" s="55"/>
      <c r="AR1177" s="55"/>
      <c r="AS1177" s="55"/>
      <c r="AT1177" s="55"/>
      <c r="AU1177" s="55"/>
    </row>
    <row r="1178" spans="1:47" ht="15.75" customHeight="1">
      <c r="A1178" s="75"/>
      <c r="B1178" s="66"/>
      <c r="C1178" s="73"/>
      <c r="D1178" s="73"/>
      <c r="E1178" s="65"/>
      <c r="F1178" s="75"/>
      <c r="G1178" s="75"/>
      <c r="H1178" s="75"/>
      <c r="I1178" s="75"/>
      <c r="J1178" s="75"/>
      <c r="K1178" s="75"/>
      <c r="L1178" s="55"/>
      <c r="M1178" s="55"/>
      <c r="N1178" s="55"/>
      <c r="O1178" s="55"/>
      <c r="P1178" s="55"/>
      <c r="Q1178" s="55"/>
      <c r="R1178" s="55"/>
      <c r="S1178" s="55"/>
      <c r="T1178" s="55"/>
      <c r="U1178" s="55"/>
      <c r="V1178" s="55"/>
      <c r="W1178" s="55"/>
      <c r="X1178" s="55"/>
      <c r="Y1178" s="55"/>
      <c r="Z1178" s="55"/>
      <c r="AA1178" s="55"/>
      <c r="AB1178" s="55"/>
      <c r="AC1178" s="55"/>
      <c r="AD1178" s="55"/>
      <c r="AE1178" s="55"/>
      <c r="AF1178" s="55"/>
      <c r="AG1178" s="55"/>
      <c r="AH1178" s="55"/>
      <c r="AI1178" s="55"/>
      <c r="AJ1178" s="55"/>
      <c r="AK1178" s="55"/>
      <c r="AL1178" s="55"/>
      <c r="AM1178" s="55"/>
      <c r="AN1178" s="55"/>
      <c r="AO1178" s="55"/>
      <c r="AP1178" s="55"/>
      <c r="AQ1178" s="55"/>
      <c r="AR1178" s="55"/>
      <c r="AS1178" s="55"/>
      <c r="AT1178" s="55"/>
      <c r="AU1178" s="55"/>
    </row>
    <row r="1179" spans="1:47" ht="15.75" customHeight="1">
      <c r="A1179" s="75"/>
      <c r="B1179" s="66"/>
      <c r="C1179" s="73"/>
      <c r="D1179" s="73"/>
      <c r="E1179" s="65"/>
      <c r="F1179" s="75"/>
      <c r="G1179" s="75"/>
      <c r="H1179" s="75"/>
      <c r="I1179" s="75"/>
      <c r="J1179" s="75"/>
      <c r="K1179" s="75"/>
      <c r="L1179" s="55"/>
      <c r="M1179" s="55"/>
      <c r="N1179" s="55"/>
      <c r="O1179" s="55"/>
      <c r="P1179" s="55"/>
      <c r="Q1179" s="55"/>
      <c r="R1179" s="55"/>
      <c r="S1179" s="55"/>
      <c r="T1179" s="55"/>
      <c r="U1179" s="55"/>
      <c r="V1179" s="55"/>
      <c r="W1179" s="55"/>
      <c r="X1179" s="55"/>
      <c r="Y1179" s="55"/>
      <c r="Z1179" s="55"/>
      <c r="AA1179" s="55"/>
      <c r="AB1179" s="55"/>
      <c r="AC1179" s="55"/>
      <c r="AD1179" s="55"/>
      <c r="AE1179" s="55"/>
      <c r="AF1179" s="55"/>
      <c r="AG1179" s="55"/>
      <c r="AH1179" s="55"/>
      <c r="AI1179" s="55"/>
      <c r="AJ1179" s="55"/>
      <c r="AK1179" s="55"/>
      <c r="AL1179" s="55"/>
      <c r="AM1179" s="55"/>
      <c r="AN1179" s="55"/>
      <c r="AO1179" s="55"/>
      <c r="AP1179" s="55"/>
      <c r="AQ1179" s="55"/>
      <c r="AR1179" s="55"/>
      <c r="AS1179" s="55"/>
      <c r="AT1179" s="55"/>
      <c r="AU1179" s="55"/>
    </row>
    <row r="1180" spans="1:47" ht="15.75" customHeight="1">
      <c r="A1180" s="75"/>
      <c r="B1180" s="66"/>
      <c r="C1180" s="73"/>
      <c r="D1180" s="73"/>
      <c r="E1180" s="65"/>
      <c r="F1180" s="75"/>
      <c r="G1180" s="75"/>
      <c r="H1180" s="75"/>
      <c r="I1180" s="75"/>
      <c r="J1180" s="75"/>
      <c r="K1180" s="75"/>
      <c r="L1180" s="55"/>
      <c r="M1180" s="55"/>
      <c r="N1180" s="55"/>
      <c r="O1180" s="55"/>
      <c r="P1180" s="55"/>
      <c r="Q1180" s="55"/>
      <c r="R1180" s="55"/>
      <c r="S1180" s="55"/>
      <c r="T1180" s="55"/>
      <c r="U1180" s="55"/>
      <c r="V1180" s="55"/>
      <c r="W1180" s="55"/>
      <c r="X1180" s="55"/>
      <c r="Y1180" s="55"/>
      <c r="Z1180" s="55"/>
      <c r="AA1180" s="55"/>
      <c r="AB1180" s="55"/>
      <c r="AC1180" s="55"/>
      <c r="AD1180" s="55"/>
      <c r="AE1180" s="55"/>
      <c r="AF1180" s="55"/>
      <c r="AG1180" s="55"/>
      <c r="AH1180" s="55"/>
      <c r="AI1180" s="55"/>
      <c r="AJ1180" s="55"/>
      <c r="AK1180" s="55"/>
      <c r="AL1180" s="55"/>
      <c r="AM1180" s="55"/>
      <c r="AN1180" s="55"/>
      <c r="AO1180" s="55"/>
      <c r="AP1180" s="55"/>
      <c r="AQ1180" s="55"/>
      <c r="AR1180" s="55"/>
      <c r="AS1180" s="55"/>
      <c r="AT1180" s="55"/>
      <c r="AU1180" s="55"/>
    </row>
    <row r="1181" spans="1:47" ht="15.75" customHeight="1">
      <c r="A1181" s="75"/>
      <c r="B1181" s="66"/>
      <c r="C1181" s="73"/>
      <c r="D1181" s="73"/>
      <c r="E1181" s="65"/>
      <c r="F1181" s="75"/>
      <c r="G1181" s="75"/>
      <c r="H1181" s="75"/>
      <c r="I1181" s="75"/>
      <c r="J1181" s="75"/>
      <c r="K1181" s="75"/>
      <c r="L1181" s="55"/>
      <c r="M1181" s="55"/>
      <c r="N1181" s="55"/>
      <c r="O1181" s="55"/>
      <c r="P1181" s="55"/>
      <c r="Q1181" s="55"/>
      <c r="R1181" s="55"/>
      <c r="S1181" s="55"/>
      <c r="T1181" s="55"/>
      <c r="U1181" s="55"/>
      <c r="V1181" s="55"/>
      <c r="W1181" s="55"/>
      <c r="X1181" s="55"/>
      <c r="Y1181" s="55"/>
      <c r="Z1181" s="55"/>
      <c r="AA1181" s="55"/>
      <c r="AB1181" s="55"/>
      <c r="AC1181" s="55"/>
      <c r="AD1181" s="55"/>
      <c r="AE1181" s="55"/>
      <c r="AF1181" s="55"/>
      <c r="AG1181" s="55"/>
      <c r="AH1181" s="55"/>
      <c r="AI1181" s="55"/>
      <c r="AJ1181" s="55"/>
      <c r="AK1181" s="55"/>
      <c r="AL1181" s="55"/>
      <c r="AM1181" s="55"/>
      <c r="AN1181" s="55"/>
      <c r="AO1181" s="55"/>
      <c r="AP1181" s="55"/>
      <c r="AQ1181" s="55"/>
      <c r="AR1181" s="55"/>
      <c r="AS1181" s="55"/>
      <c r="AT1181" s="55"/>
      <c r="AU1181" s="55"/>
    </row>
    <row r="1182" spans="1:47" ht="15.75" customHeight="1">
      <c r="A1182" s="75"/>
      <c r="B1182" s="66"/>
      <c r="C1182" s="73"/>
      <c r="D1182" s="73"/>
      <c r="E1182" s="65"/>
      <c r="F1182" s="75"/>
      <c r="G1182" s="75"/>
      <c r="H1182" s="75"/>
      <c r="I1182" s="75"/>
      <c r="J1182" s="75"/>
      <c r="K1182" s="75"/>
      <c r="L1182" s="55"/>
      <c r="M1182" s="55"/>
      <c r="N1182" s="55"/>
      <c r="O1182" s="55"/>
      <c r="P1182" s="55"/>
      <c r="Q1182" s="55"/>
      <c r="R1182" s="55"/>
      <c r="S1182" s="55"/>
      <c r="T1182" s="55"/>
      <c r="U1182" s="55"/>
      <c r="V1182" s="55"/>
      <c r="W1182" s="55"/>
      <c r="X1182" s="55"/>
      <c r="Y1182" s="55"/>
      <c r="Z1182" s="55"/>
      <c r="AA1182" s="55"/>
      <c r="AB1182" s="55"/>
      <c r="AC1182" s="55"/>
      <c r="AD1182" s="55"/>
      <c r="AE1182" s="55"/>
      <c r="AF1182" s="55"/>
      <c r="AG1182" s="55"/>
      <c r="AH1182" s="55"/>
      <c r="AI1182" s="55"/>
      <c r="AJ1182" s="55"/>
      <c r="AK1182" s="55"/>
      <c r="AL1182" s="55"/>
      <c r="AM1182" s="55"/>
      <c r="AN1182" s="55"/>
      <c r="AO1182" s="55"/>
      <c r="AP1182" s="55"/>
      <c r="AQ1182" s="55"/>
      <c r="AR1182" s="55"/>
      <c r="AS1182" s="55"/>
      <c r="AT1182" s="55"/>
      <c r="AU1182" s="55"/>
    </row>
    <row r="1183" spans="1:47" ht="15.75" customHeight="1">
      <c r="A1183" s="75"/>
      <c r="B1183" s="66"/>
      <c r="C1183" s="73"/>
      <c r="D1183" s="73"/>
      <c r="E1183" s="65"/>
      <c r="F1183" s="75"/>
      <c r="G1183" s="75"/>
      <c r="H1183" s="75"/>
      <c r="I1183" s="75"/>
      <c r="J1183" s="75"/>
      <c r="K1183" s="75"/>
      <c r="L1183" s="55"/>
      <c r="M1183" s="55"/>
      <c r="N1183" s="55"/>
      <c r="O1183" s="55"/>
      <c r="P1183" s="55"/>
      <c r="Q1183" s="55"/>
      <c r="R1183" s="55"/>
      <c r="S1183" s="55"/>
      <c r="T1183" s="55"/>
      <c r="U1183" s="55"/>
      <c r="V1183" s="55"/>
      <c r="W1183" s="55"/>
      <c r="X1183" s="55"/>
      <c r="Y1183" s="55"/>
      <c r="Z1183" s="55"/>
      <c r="AA1183" s="55"/>
      <c r="AB1183" s="55"/>
      <c r="AC1183" s="55"/>
      <c r="AD1183" s="55"/>
      <c r="AE1183" s="55"/>
      <c r="AF1183" s="55"/>
      <c r="AG1183" s="55"/>
      <c r="AH1183" s="55"/>
      <c r="AI1183" s="55"/>
      <c r="AJ1183" s="55"/>
      <c r="AK1183" s="55"/>
      <c r="AL1183" s="55"/>
      <c r="AM1183" s="55"/>
      <c r="AN1183" s="55"/>
      <c r="AO1183" s="55"/>
      <c r="AP1183" s="55"/>
      <c r="AQ1183" s="55"/>
      <c r="AR1183" s="55"/>
      <c r="AS1183" s="55"/>
      <c r="AT1183" s="55"/>
      <c r="AU1183" s="55"/>
    </row>
    <row r="1184" spans="1:47" ht="15.75" customHeight="1">
      <c r="A1184" s="75"/>
      <c r="B1184" s="66"/>
      <c r="C1184" s="73"/>
      <c r="D1184" s="73"/>
      <c r="E1184" s="65"/>
      <c r="F1184" s="75"/>
      <c r="G1184" s="75"/>
      <c r="H1184" s="75"/>
      <c r="I1184" s="75"/>
      <c r="J1184" s="75"/>
      <c r="K1184" s="75"/>
      <c r="L1184" s="55"/>
      <c r="M1184" s="55"/>
      <c r="N1184" s="55"/>
      <c r="O1184" s="55"/>
      <c r="P1184" s="55"/>
      <c r="Q1184" s="55"/>
      <c r="R1184" s="55"/>
      <c r="S1184" s="55"/>
      <c r="T1184" s="55"/>
      <c r="U1184" s="55"/>
      <c r="V1184" s="55"/>
      <c r="W1184" s="55"/>
      <c r="X1184" s="55"/>
      <c r="Y1184" s="55"/>
      <c r="Z1184" s="55"/>
      <c r="AA1184" s="55"/>
      <c r="AB1184" s="55"/>
      <c r="AC1184" s="55"/>
      <c r="AD1184" s="55"/>
      <c r="AE1184" s="55"/>
      <c r="AF1184" s="55"/>
      <c r="AG1184" s="55"/>
      <c r="AH1184" s="55"/>
      <c r="AI1184" s="55"/>
      <c r="AJ1184" s="55"/>
      <c r="AK1184" s="55"/>
      <c r="AL1184" s="55"/>
      <c r="AM1184" s="55"/>
      <c r="AN1184" s="55"/>
      <c r="AO1184" s="55"/>
      <c r="AP1184" s="55"/>
      <c r="AQ1184" s="55"/>
      <c r="AR1184" s="55"/>
      <c r="AS1184" s="55"/>
      <c r="AT1184" s="55"/>
      <c r="AU1184" s="55"/>
    </row>
    <row r="1185" spans="1:47" ht="15.75" customHeight="1">
      <c r="A1185" s="75"/>
      <c r="B1185" s="66"/>
      <c r="C1185" s="73"/>
      <c r="D1185" s="73"/>
      <c r="E1185" s="65"/>
      <c r="F1185" s="75"/>
      <c r="G1185" s="75"/>
      <c r="H1185" s="75"/>
      <c r="I1185" s="75"/>
      <c r="J1185" s="75"/>
      <c r="K1185" s="75"/>
      <c r="L1185" s="55"/>
      <c r="M1185" s="55"/>
      <c r="N1185" s="55"/>
      <c r="O1185" s="55"/>
      <c r="P1185" s="55"/>
      <c r="Q1185" s="55"/>
      <c r="R1185" s="55"/>
      <c r="S1185" s="55"/>
      <c r="T1185" s="55"/>
      <c r="U1185" s="55"/>
      <c r="V1185" s="55"/>
      <c r="W1185" s="55"/>
      <c r="X1185" s="55"/>
      <c r="Y1185" s="55"/>
      <c r="Z1185" s="55"/>
      <c r="AA1185" s="55"/>
      <c r="AB1185" s="55"/>
      <c r="AC1185" s="55"/>
      <c r="AD1185" s="55"/>
      <c r="AE1185" s="55"/>
      <c r="AF1185" s="55"/>
      <c r="AG1185" s="55"/>
      <c r="AH1185" s="55"/>
      <c r="AI1185" s="55"/>
      <c r="AJ1185" s="55"/>
      <c r="AK1185" s="55"/>
      <c r="AL1185" s="55"/>
      <c r="AM1185" s="55"/>
      <c r="AN1185" s="55"/>
      <c r="AO1185" s="55"/>
      <c r="AP1185" s="55"/>
      <c r="AQ1185" s="55"/>
      <c r="AR1185" s="55"/>
      <c r="AS1185" s="55"/>
      <c r="AT1185" s="55"/>
      <c r="AU1185" s="55"/>
    </row>
    <row r="1186" spans="1:47" ht="15.75" customHeight="1">
      <c r="A1186" s="75"/>
      <c r="B1186" s="66"/>
      <c r="C1186" s="73"/>
      <c r="D1186" s="73"/>
      <c r="E1186" s="65"/>
      <c r="F1186" s="75"/>
      <c r="G1186" s="75"/>
      <c r="H1186" s="75"/>
      <c r="I1186" s="75"/>
      <c r="J1186" s="75"/>
      <c r="K1186" s="75"/>
      <c r="L1186" s="55"/>
      <c r="M1186" s="55"/>
      <c r="N1186" s="55"/>
      <c r="O1186" s="55"/>
      <c r="P1186" s="55"/>
      <c r="Q1186" s="55"/>
      <c r="R1186" s="55"/>
      <c r="S1186" s="55"/>
      <c r="T1186" s="55"/>
      <c r="U1186" s="55"/>
      <c r="V1186" s="55"/>
      <c r="W1186" s="55"/>
      <c r="X1186" s="55"/>
      <c r="Y1186" s="55"/>
      <c r="Z1186" s="55"/>
      <c r="AA1186" s="55"/>
      <c r="AB1186" s="55"/>
      <c r="AC1186" s="55"/>
      <c r="AD1186" s="55"/>
      <c r="AE1186" s="55"/>
      <c r="AF1186" s="55"/>
      <c r="AG1186" s="55"/>
      <c r="AH1186" s="55"/>
      <c r="AI1186" s="55"/>
      <c r="AJ1186" s="55"/>
      <c r="AK1186" s="55"/>
      <c r="AL1186" s="55"/>
      <c r="AM1186" s="55"/>
      <c r="AN1186" s="55"/>
      <c r="AO1186" s="55"/>
      <c r="AP1186" s="55"/>
      <c r="AQ1186" s="55"/>
      <c r="AR1186" s="55"/>
      <c r="AS1186" s="55"/>
      <c r="AT1186" s="55"/>
      <c r="AU1186" s="55"/>
    </row>
    <row r="1187" spans="1:47" ht="15.75" customHeight="1">
      <c r="A1187" s="75"/>
      <c r="B1187" s="66"/>
      <c r="C1187" s="73"/>
      <c r="D1187" s="73"/>
      <c r="E1187" s="65"/>
      <c r="F1187" s="75"/>
      <c r="G1187" s="75"/>
      <c r="H1187" s="75"/>
      <c r="I1187" s="75"/>
      <c r="J1187" s="75"/>
      <c r="K1187" s="75"/>
      <c r="L1187" s="55"/>
      <c r="M1187" s="55"/>
      <c r="N1187" s="55"/>
      <c r="O1187" s="55"/>
      <c r="P1187" s="55"/>
      <c r="Q1187" s="55"/>
      <c r="R1187" s="55"/>
      <c r="S1187" s="55"/>
      <c r="T1187" s="55"/>
      <c r="U1187" s="55"/>
      <c r="V1187" s="55"/>
      <c r="W1187" s="55"/>
      <c r="X1187" s="55"/>
      <c r="Y1187" s="55"/>
      <c r="Z1187" s="55"/>
      <c r="AA1187" s="55"/>
      <c r="AB1187" s="55"/>
      <c r="AC1187" s="55"/>
      <c r="AD1187" s="55"/>
      <c r="AE1187" s="55"/>
      <c r="AF1187" s="55"/>
      <c r="AG1187" s="55"/>
      <c r="AH1187" s="55"/>
      <c r="AI1187" s="55"/>
      <c r="AJ1187" s="55"/>
      <c r="AK1187" s="55"/>
      <c r="AL1187" s="55"/>
      <c r="AM1187" s="55"/>
      <c r="AN1187" s="55"/>
      <c r="AO1187" s="55"/>
      <c r="AP1187" s="55"/>
      <c r="AQ1187" s="55"/>
      <c r="AR1187" s="55"/>
      <c r="AS1187" s="55"/>
      <c r="AT1187" s="55"/>
      <c r="AU1187" s="55"/>
    </row>
    <row r="1188" spans="1:47" ht="15.75" customHeight="1">
      <c r="A1188" s="75"/>
      <c r="B1188" s="66"/>
      <c r="C1188" s="73"/>
      <c r="D1188" s="73"/>
      <c r="E1188" s="65"/>
      <c r="F1188" s="75"/>
      <c r="G1188" s="75"/>
      <c r="H1188" s="75"/>
      <c r="I1188" s="75"/>
      <c r="J1188" s="75"/>
      <c r="K1188" s="75"/>
      <c r="L1188" s="55"/>
      <c r="M1188" s="55"/>
      <c r="N1188" s="55"/>
      <c r="O1188" s="55"/>
      <c r="P1188" s="55"/>
      <c r="Q1188" s="55"/>
      <c r="R1188" s="55"/>
      <c r="S1188" s="55"/>
      <c r="T1188" s="55"/>
      <c r="U1188" s="55"/>
      <c r="V1188" s="55"/>
      <c r="W1188" s="55"/>
      <c r="X1188" s="55"/>
      <c r="Y1188" s="55"/>
      <c r="Z1188" s="55"/>
      <c r="AA1188" s="55"/>
      <c r="AB1188" s="55"/>
      <c r="AC1188" s="55"/>
      <c r="AD1188" s="55"/>
      <c r="AE1188" s="55"/>
      <c r="AF1188" s="55"/>
      <c r="AG1188" s="55"/>
      <c r="AH1188" s="55"/>
      <c r="AI1188" s="55"/>
      <c r="AJ1188" s="55"/>
      <c r="AK1188" s="55"/>
      <c r="AL1188" s="55"/>
      <c r="AM1188" s="55"/>
      <c r="AN1188" s="55"/>
      <c r="AO1188" s="55"/>
      <c r="AP1188" s="55"/>
      <c r="AQ1188" s="55"/>
      <c r="AR1188" s="55"/>
      <c r="AS1188" s="55"/>
      <c r="AT1188" s="55"/>
      <c r="AU1188" s="55"/>
    </row>
    <row r="1189" spans="1:47" ht="15.75" customHeight="1">
      <c r="A1189" s="75"/>
      <c r="B1189" s="66"/>
      <c r="C1189" s="73"/>
      <c r="D1189" s="73"/>
      <c r="E1189" s="65"/>
      <c r="F1189" s="75"/>
      <c r="G1189" s="75"/>
      <c r="H1189" s="75"/>
      <c r="I1189" s="75"/>
      <c r="J1189" s="75"/>
      <c r="K1189" s="75"/>
      <c r="L1189" s="55"/>
      <c r="M1189" s="55"/>
      <c r="N1189" s="55"/>
      <c r="O1189" s="55"/>
      <c r="P1189" s="55"/>
      <c r="Q1189" s="55"/>
      <c r="R1189" s="55"/>
      <c r="S1189" s="55"/>
      <c r="T1189" s="55"/>
      <c r="U1189" s="55"/>
      <c r="V1189" s="55"/>
      <c r="W1189" s="55"/>
      <c r="X1189" s="55"/>
      <c r="Y1189" s="55"/>
      <c r="Z1189" s="55"/>
      <c r="AA1189" s="55"/>
      <c r="AB1189" s="55"/>
      <c r="AC1189" s="55"/>
      <c r="AD1189" s="55"/>
      <c r="AE1189" s="55"/>
      <c r="AF1189" s="55"/>
      <c r="AG1189" s="55"/>
      <c r="AH1189" s="55"/>
      <c r="AI1189" s="55"/>
      <c r="AJ1189" s="55"/>
      <c r="AK1189" s="55"/>
      <c r="AL1189" s="55"/>
      <c r="AM1189" s="55"/>
      <c r="AN1189" s="55"/>
      <c r="AO1189" s="55"/>
      <c r="AP1189" s="55"/>
      <c r="AQ1189" s="55"/>
      <c r="AR1189" s="55"/>
      <c r="AS1189" s="55"/>
      <c r="AT1189" s="55"/>
      <c r="AU1189" s="55"/>
    </row>
    <row r="1190" spans="1:47" ht="15.75" customHeight="1">
      <c r="A1190" s="75"/>
      <c r="B1190" s="66"/>
      <c r="C1190" s="73"/>
      <c r="D1190" s="73"/>
      <c r="E1190" s="65"/>
      <c r="F1190" s="75"/>
      <c r="G1190" s="75"/>
      <c r="H1190" s="75"/>
      <c r="I1190" s="75"/>
      <c r="J1190" s="75"/>
      <c r="K1190" s="75"/>
      <c r="L1190" s="55"/>
      <c r="M1190" s="55"/>
      <c r="N1190" s="55"/>
      <c r="O1190" s="55"/>
      <c r="P1190" s="55"/>
      <c r="Q1190" s="55"/>
      <c r="R1190" s="55"/>
      <c r="S1190" s="55"/>
      <c r="T1190" s="55"/>
      <c r="U1190" s="55"/>
      <c r="V1190" s="55"/>
      <c r="W1190" s="55"/>
      <c r="X1190" s="55"/>
      <c r="Y1190" s="55"/>
      <c r="Z1190" s="55"/>
      <c r="AA1190" s="55"/>
      <c r="AB1190" s="55"/>
      <c r="AC1190" s="55"/>
      <c r="AD1190" s="55"/>
      <c r="AE1190" s="55"/>
      <c r="AF1190" s="55"/>
      <c r="AG1190" s="55"/>
      <c r="AH1190" s="55"/>
      <c r="AI1190" s="55"/>
      <c r="AJ1190" s="55"/>
      <c r="AK1190" s="55"/>
      <c r="AL1190" s="55"/>
      <c r="AM1190" s="55"/>
      <c r="AN1190" s="55"/>
      <c r="AO1190" s="55"/>
      <c r="AP1190" s="55"/>
      <c r="AQ1190" s="55"/>
      <c r="AR1190" s="55"/>
      <c r="AS1190" s="55"/>
      <c r="AT1190" s="55"/>
      <c r="AU1190" s="55"/>
    </row>
    <row r="1191" spans="1:47" ht="15.75" customHeight="1">
      <c r="A1191" s="75"/>
      <c r="B1191" s="66"/>
      <c r="C1191" s="73"/>
      <c r="D1191" s="73"/>
      <c r="E1191" s="65"/>
      <c r="F1191" s="75"/>
      <c r="G1191" s="75"/>
      <c r="H1191" s="75"/>
      <c r="I1191" s="75"/>
      <c r="J1191" s="75"/>
      <c r="K1191" s="75"/>
      <c r="L1191" s="55"/>
      <c r="M1191" s="55"/>
      <c r="N1191" s="55"/>
      <c r="O1191" s="55"/>
      <c r="P1191" s="55"/>
      <c r="Q1191" s="55"/>
      <c r="R1191" s="55"/>
      <c r="S1191" s="55"/>
      <c r="T1191" s="55"/>
      <c r="U1191" s="55"/>
      <c r="V1191" s="55"/>
      <c r="W1191" s="55"/>
      <c r="X1191" s="55"/>
      <c r="Y1191" s="55"/>
      <c r="Z1191" s="55"/>
      <c r="AA1191" s="55"/>
      <c r="AB1191" s="55"/>
      <c r="AC1191" s="55"/>
      <c r="AD1191" s="55"/>
      <c r="AE1191" s="55"/>
      <c r="AF1191" s="55"/>
      <c r="AG1191" s="55"/>
      <c r="AH1191" s="55"/>
      <c r="AI1191" s="55"/>
      <c r="AJ1191" s="55"/>
      <c r="AK1191" s="55"/>
      <c r="AL1191" s="55"/>
      <c r="AM1191" s="55"/>
      <c r="AN1191" s="55"/>
      <c r="AO1191" s="55"/>
      <c r="AP1191" s="55"/>
      <c r="AQ1191" s="55"/>
      <c r="AR1191" s="55"/>
      <c r="AS1191" s="55"/>
      <c r="AT1191" s="55"/>
      <c r="AU1191" s="55"/>
    </row>
    <row r="1192" spans="1:47" ht="15.75" customHeight="1">
      <c r="A1192" s="75"/>
      <c r="B1192" s="66"/>
      <c r="C1192" s="73"/>
      <c r="D1192" s="73"/>
      <c r="E1192" s="65"/>
      <c r="F1192" s="75"/>
      <c r="G1192" s="75"/>
      <c r="H1192" s="75"/>
      <c r="I1192" s="75"/>
      <c r="J1192" s="75"/>
      <c r="K1192" s="75"/>
      <c r="L1192" s="55"/>
      <c r="M1192" s="55"/>
      <c r="N1192" s="55"/>
      <c r="O1192" s="55"/>
      <c r="P1192" s="55"/>
      <c r="Q1192" s="55"/>
      <c r="R1192" s="55"/>
      <c r="S1192" s="55"/>
      <c r="T1192" s="55"/>
      <c r="U1192" s="55"/>
      <c r="V1192" s="55"/>
      <c r="W1192" s="55"/>
      <c r="X1192" s="55"/>
      <c r="Y1192" s="55"/>
      <c r="Z1192" s="55"/>
      <c r="AA1192" s="55"/>
      <c r="AB1192" s="55"/>
      <c r="AC1192" s="55"/>
      <c r="AD1192" s="55"/>
      <c r="AE1192" s="55"/>
      <c r="AF1192" s="55"/>
      <c r="AG1192" s="55"/>
      <c r="AH1192" s="55"/>
      <c r="AI1192" s="55"/>
      <c r="AJ1192" s="55"/>
      <c r="AK1192" s="55"/>
      <c r="AL1192" s="55"/>
      <c r="AM1192" s="55"/>
      <c r="AN1192" s="55"/>
      <c r="AO1192" s="55"/>
      <c r="AP1192" s="55"/>
      <c r="AQ1192" s="55"/>
      <c r="AR1192" s="55"/>
      <c r="AS1192" s="55"/>
      <c r="AT1192" s="55"/>
      <c r="AU1192" s="55"/>
    </row>
    <row r="1193" spans="1:47" ht="15.75" customHeight="1">
      <c r="A1193" s="75"/>
      <c r="B1193" s="66"/>
      <c r="C1193" s="73"/>
      <c r="D1193" s="73"/>
      <c r="E1193" s="65"/>
      <c r="F1193" s="75"/>
      <c r="G1193" s="75"/>
      <c r="H1193" s="75"/>
      <c r="I1193" s="75"/>
      <c r="J1193" s="75"/>
      <c r="K1193" s="75"/>
      <c r="L1193" s="55"/>
      <c r="M1193" s="55"/>
      <c r="N1193" s="55"/>
      <c r="O1193" s="55"/>
      <c r="P1193" s="55"/>
      <c r="Q1193" s="55"/>
      <c r="R1193" s="55"/>
      <c r="S1193" s="55"/>
      <c r="T1193" s="55"/>
      <c r="U1193" s="55"/>
      <c r="V1193" s="55"/>
      <c r="W1193" s="55"/>
      <c r="X1193" s="55"/>
      <c r="Y1193" s="55"/>
      <c r="Z1193" s="55"/>
      <c r="AA1193" s="55"/>
      <c r="AB1193" s="55"/>
      <c r="AC1193" s="55"/>
      <c r="AD1193" s="55"/>
      <c r="AE1193" s="55"/>
      <c r="AF1193" s="55"/>
      <c r="AG1193" s="55"/>
      <c r="AH1193" s="55"/>
      <c r="AI1193" s="55"/>
      <c r="AJ1193" s="55"/>
      <c r="AK1193" s="55"/>
      <c r="AL1193" s="55"/>
      <c r="AM1193" s="55"/>
      <c r="AN1193" s="55"/>
      <c r="AO1193" s="55"/>
      <c r="AP1193" s="55"/>
      <c r="AQ1193" s="55"/>
      <c r="AR1193" s="55"/>
      <c r="AS1193" s="55"/>
      <c r="AT1193" s="55"/>
      <c r="AU1193" s="55"/>
    </row>
    <row r="1194" spans="1:47" ht="15.75" customHeight="1">
      <c r="A1194" s="75"/>
      <c r="B1194" s="66"/>
      <c r="C1194" s="73"/>
      <c r="D1194" s="73"/>
      <c r="E1194" s="65"/>
      <c r="F1194" s="75"/>
      <c r="G1194" s="75"/>
      <c r="H1194" s="75"/>
      <c r="I1194" s="75"/>
      <c r="J1194" s="75"/>
      <c r="K1194" s="75"/>
      <c r="L1194" s="55"/>
      <c r="M1194" s="55"/>
      <c r="N1194" s="55"/>
      <c r="O1194" s="55"/>
      <c r="P1194" s="55"/>
      <c r="Q1194" s="55"/>
      <c r="R1194" s="55"/>
      <c r="S1194" s="55"/>
      <c r="T1194" s="55"/>
      <c r="U1194" s="55"/>
      <c r="V1194" s="55"/>
      <c r="W1194" s="55"/>
      <c r="X1194" s="55"/>
      <c r="Y1194" s="55"/>
      <c r="Z1194" s="55"/>
      <c r="AA1194" s="55"/>
      <c r="AB1194" s="55"/>
      <c r="AC1194" s="55"/>
      <c r="AD1194" s="55"/>
      <c r="AE1194" s="55"/>
      <c r="AF1194" s="55"/>
      <c r="AG1194" s="55"/>
      <c r="AH1194" s="55"/>
      <c r="AI1194" s="55"/>
      <c r="AJ1194" s="55"/>
      <c r="AK1194" s="55"/>
      <c r="AL1194" s="55"/>
      <c r="AM1194" s="55"/>
      <c r="AN1194" s="55"/>
      <c r="AO1194" s="55"/>
      <c r="AP1194" s="55"/>
      <c r="AQ1194" s="55"/>
      <c r="AR1194" s="55"/>
      <c r="AS1194" s="55"/>
      <c r="AT1194" s="55"/>
      <c r="AU1194" s="55"/>
    </row>
    <row r="1195" spans="1:47" ht="15.75" customHeight="1">
      <c r="A1195" s="75"/>
      <c r="B1195" s="66"/>
      <c r="C1195" s="73"/>
      <c r="D1195" s="73"/>
      <c r="E1195" s="65"/>
      <c r="F1195" s="75"/>
      <c r="G1195" s="75"/>
      <c r="H1195" s="75"/>
      <c r="I1195" s="75"/>
      <c r="J1195" s="75"/>
      <c r="K1195" s="75"/>
      <c r="L1195" s="55"/>
      <c r="M1195" s="55"/>
      <c r="N1195" s="55"/>
      <c r="O1195" s="55"/>
      <c r="P1195" s="55"/>
      <c r="Q1195" s="55"/>
      <c r="R1195" s="55"/>
      <c r="S1195" s="55"/>
      <c r="T1195" s="55"/>
      <c r="U1195" s="55"/>
      <c r="V1195" s="55"/>
      <c r="W1195" s="55"/>
      <c r="X1195" s="55"/>
      <c r="Y1195" s="55"/>
      <c r="Z1195" s="55"/>
      <c r="AA1195" s="55"/>
      <c r="AB1195" s="55"/>
      <c r="AC1195" s="55"/>
      <c r="AD1195" s="55"/>
      <c r="AE1195" s="55"/>
      <c r="AF1195" s="55"/>
      <c r="AG1195" s="55"/>
      <c r="AH1195" s="55"/>
      <c r="AI1195" s="55"/>
      <c r="AJ1195" s="55"/>
      <c r="AK1195" s="55"/>
      <c r="AL1195" s="55"/>
      <c r="AM1195" s="55"/>
      <c r="AN1195" s="55"/>
      <c r="AO1195" s="55"/>
      <c r="AP1195" s="55"/>
      <c r="AQ1195" s="55"/>
      <c r="AR1195" s="55"/>
      <c r="AS1195" s="55"/>
      <c r="AT1195" s="55"/>
      <c r="AU1195" s="55"/>
    </row>
    <row r="1196" spans="1:47" ht="15.75" customHeight="1">
      <c r="A1196" s="75"/>
      <c r="B1196" s="66"/>
      <c r="C1196" s="73"/>
      <c r="D1196" s="73"/>
      <c r="E1196" s="65"/>
      <c r="F1196" s="75"/>
      <c r="G1196" s="75"/>
      <c r="H1196" s="75"/>
      <c r="I1196" s="75"/>
      <c r="J1196" s="75"/>
      <c r="K1196" s="75"/>
      <c r="L1196" s="55"/>
      <c r="M1196" s="55"/>
      <c r="N1196" s="55"/>
      <c r="O1196" s="55"/>
      <c r="P1196" s="55"/>
      <c r="Q1196" s="55"/>
      <c r="R1196" s="55"/>
      <c r="S1196" s="55"/>
      <c r="T1196" s="55"/>
      <c r="U1196" s="55"/>
      <c r="V1196" s="55"/>
      <c r="W1196" s="55"/>
      <c r="X1196" s="55"/>
      <c r="Y1196" s="55"/>
      <c r="Z1196" s="55"/>
      <c r="AA1196" s="55"/>
      <c r="AB1196" s="55"/>
      <c r="AC1196" s="55"/>
      <c r="AD1196" s="55"/>
      <c r="AE1196" s="55"/>
      <c r="AF1196" s="55"/>
      <c r="AG1196" s="55"/>
      <c r="AH1196" s="55"/>
      <c r="AI1196" s="55"/>
      <c r="AJ1196" s="55"/>
      <c r="AK1196" s="55"/>
      <c r="AL1196" s="55"/>
      <c r="AM1196" s="55"/>
      <c r="AN1196" s="55"/>
      <c r="AO1196" s="55"/>
      <c r="AP1196" s="55"/>
      <c r="AQ1196" s="55"/>
      <c r="AR1196" s="55"/>
      <c r="AS1196" s="55"/>
      <c r="AT1196" s="55"/>
      <c r="AU1196" s="55"/>
    </row>
    <row r="1197" spans="1:47" ht="15.75" customHeight="1">
      <c r="A1197" s="75"/>
      <c r="B1197" s="66"/>
      <c r="C1197" s="73"/>
      <c r="D1197" s="73"/>
      <c r="E1197" s="65"/>
      <c r="F1197" s="75"/>
      <c r="G1197" s="75"/>
      <c r="H1197" s="75"/>
      <c r="I1197" s="75"/>
      <c r="J1197" s="75"/>
      <c r="K1197" s="75"/>
      <c r="L1197" s="55"/>
      <c r="M1197" s="55"/>
      <c r="N1197" s="55"/>
      <c r="O1197" s="55"/>
      <c r="P1197" s="55"/>
      <c r="Q1197" s="55"/>
      <c r="R1197" s="55"/>
      <c r="S1197" s="55"/>
      <c r="T1197" s="55"/>
      <c r="U1197" s="55"/>
      <c r="V1197" s="55"/>
      <c r="W1197" s="55"/>
      <c r="X1197" s="55"/>
      <c r="Y1197" s="55"/>
      <c r="Z1197" s="55"/>
      <c r="AA1197" s="55"/>
      <c r="AB1197" s="55"/>
      <c r="AC1197" s="55"/>
      <c r="AD1197" s="55"/>
      <c r="AE1197" s="55"/>
      <c r="AF1197" s="55"/>
      <c r="AG1197" s="55"/>
      <c r="AH1197" s="55"/>
      <c r="AI1197" s="55"/>
      <c r="AJ1197" s="55"/>
      <c r="AK1197" s="55"/>
      <c r="AL1197" s="55"/>
      <c r="AM1197" s="55"/>
      <c r="AN1197" s="55"/>
      <c r="AO1197" s="55"/>
      <c r="AP1197" s="55"/>
      <c r="AQ1197" s="55"/>
      <c r="AR1197" s="55"/>
      <c r="AS1197" s="55"/>
      <c r="AT1197" s="55"/>
      <c r="AU1197" s="55"/>
    </row>
    <row r="1198" spans="1:47" ht="15.75" customHeight="1">
      <c r="A1198" s="75"/>
      <c r="B1198" s="66"/>
      <c r="C1198" s="73"/>
      <c r="D1198" s="73"/>
      <c r="E1198" s="65"/>
      <c r="F1198" s="75"/>
      <c r="G1198" s="75"/>
      <c r="H1198" s="75"/>
      <c r="I1198" s="75"/>
      <c r="J1198" s="75"/>
      <c r="K1198" s="75"/>
      <c r="L1198" s="55"/>
      <c r="M1198" s="55"/>
      <c r="N1198" s="55"/>
      <c r="O1198" s="55"/>
      <c r="P1198" s="55"/>
      <c r="Q1198" s="55"/>
      <c r="R1198" s="55"/>
      <c r="S1198" s="55"/>
      <c r="T1198" s="55"/>
      <c r="U1198" s="55"/>
      <c r="V1198" s="55"/>
      <c r="W1198" s="55"/>
      <c r="X1198" s="55"/>
      <c r="Y1198" s="55"/>
      <c r="Z1198" s="55"/>
      <c r="AA1198" s="55"/>
      <c r="AB1198" s="55"/>
      <c r="AC1198" s="55"/>
      <c r="AD1198" s="55"/>
      <c r="AE1198" s="55"/>
      <c r="AF1198" s="55"/>
      <c r="AG1198" s="55"/>
      <c r="AH1198" s="55"/>
      <c r="AI1198" s="55"/>
      <c r="AJ1198" s="55"/>
      <c r="AK1198" s="55"/>
      <c r="AL1198" s="55"/>
      <c r="AM1198" s="55"/>
      <c r="AN1198" s="55"/>
      <c r="AO1198" s="55"/>
      <c r="AP1198" s="55"/>
      <c r="AQ1198" s="55"/>
      <c r="AR1198" s="55"/>
      <c r="AS1198" s="55"/>
      <c r="AT1198" s="55"/>
      <c r="AU1198" s="55"/>
    </row>
    <row r="1199" spans="1:47" ht="15.75" customHeight="1">
      <c r="A1199" s="75"/>
      <c r="B1199" s="66"/>
      <c r="C1199" s="73"/>
      <c r="D1199" s="73"/>
      <c r="E1199" s="65"/>
      <c r="F1199" s="75"/>
      <c r="G1199" s="75"/>
      <c r="H1199" s="75"/>
      <c r="I1199" s="75"/>
      <c r="J1199" s="75"/>
      <c r="K1199" s="75"/>
      <c r="L1199" s="55"/>
      <c r="M1199" s="55"/>
      <c r="N1199" s="55"/>
      <c r="O1199" s="55"/>
      <c r="P1199" s="55"/>
      <c r="Q1199" s="55"/>
      <c r="R1199" s="55"/>
      <c r="S1199" s="55"/>
      <c r="T1199" s="55"/>
      <c r="U1199" s="55"/>
      <c r="V1199" s="55"/>
      <c r="W1199" s="55"/>
      <c r="X1199" s="55"/>
      <c r="Y1199" s="55"/>
      <c r="Z1199" s="55"/>
      <c r="AA1199" s="55"/>
      <c r="AB1199" s="55"/>
      <c r="AC1199" s="55"/>
      <c r="AD1199" s="55"/>
      <c r="AE1199" s="55"/>
      <c r="AF1199" s="55"/>
      <c r="AG1199" s="55"/>
      <c r="AH1199" s="55"/>
      <c r="AI1199" s="55"/>
      <c r="AJ1199" s="55"/>
      <c r="AK1199" s="55"/>
      <c r="AL1199" s="55"/>
      <c r="AM1199" s="55"/>
      <c r="AN1199" s="55"/>
      <c r="AO1199" s="55"/>
      <c r="AP1199" s="55"/>
      <c r="AQ1199" s="55"/>
      <c r="AR1199" s="55"/>
      <c r="AS1199" s="55"/>
      <c r="AT1199" s="55"/>
      <c r="AU1199" s="55"/>
    </row>
    <row r="1200" spans="1:47" ht="15.75" customHeight="1">
      <c r="A1200" s="75"/>
      <c r="B1200" s="66"/>
      <c r="C1200" s="73"/>
      <c r="D1200" s="73"/>
      <c r="E1200" s="65"/>
      <c r="F1200" s="75"/>
      <c r="G1200" s="75"/>
      <c r="H1200" s="75"/>
      <c r="I1200" s="75"/>
      <c r="J1200" s="75"/>
      <c r="K1200" s="75"/>
      <c r="L1200" s="55"/>
      <c r="M1200" s="55"/>
      <c r="N1200" s="55"/>
      <c r="O1200" s="55"/>
      <c r="P1200" s="55"/>
      <c r="Q1200" s="55"/>
      <c r="R1200" s="55"/>
      <c r="S1200" s="55"/>
      <c r="T1200" s="55"/>
      <c r="U1200" s="55"/>
      <c r="V1200" s="55"/>
      <c r="W1200" s="55"/>
      <c r="X1200" s="55"/>
      <c r="Y1200" s="55"/>
      <c r="Z1200" s="55"/>
      <c r="AA1200" s="55"/>
      <c r="AB1200" s="55"/>
      <c r="AC1200" s="55"/>
      <c r="AD1200" s="55"/>
      <c r="AE1200" s="55"/>
      <c r="AF1200" s="55"/>
      <c r="AG1200" s="55"/>
      <c r="AH1200" s="55"/>
      <c r="AI1200" s="55"/>
      <c r="AJ1200" s="55"/>
      <c r="AK1200" s="55"/>
      <c r="AL1200" s="55"/>
      <c r="AM1200" s="55"/>
      <c r="AN1200" s="55"/>
      <c r="AO1200" s="55"/>
      <c r="AP1200" s="55"/>
      <c r="AQ1200" s="55"/>
      <c r="AR1200" s="55"/>
      <c r="AS1200" s="55"/>
      <c r="AT1200" s="55"/>
      <c r="AU1200" s="55"/>
    </row>
    <row r="1201" spans="1:47" ht="15.75" customHeight="1">
      <c r="A1201" s="75"/>
      <c r="B1201" s="66"/>
      <c r="C1201" s="73"/>
      <c r="D1201" s="73"/>
      <c r="E1201" s="65"/>
      <c r="F1201" s="75"/>
      <c r="G1201" s="75"/>
      <c r="H1201" s="75"/>
      <c r="I1201" s="75"/>
      <c r="J1201" s="75"/>
      <c r="K1201" s="75"/>
      <c r="L1201" s="55"/>
      <c r="M1201" s="55"/>
      <c r="N1201" s="55"/>
      <c r="O1201" s="55"/>
      <c r="P1201" s="55"/>
      <c r="Q1201" s="55"/>
      <c r="R1201" s="55"/>
      <c r="S1201" s="55"/>
      <c r="T1201" s="55"/>
      <c r="U1201" s="55"/>
      <c r="V1201" s="55"/>
      <c r="W1201" s="55"/>
      <c r="X1201" s="55"/>
      <c r="Y1201" s="55"/>
      <c r="Z1201" s="55"/>
      <c r="AA1201" s="55"/>
      <c r="AB1201" s="55"/>
      <c r="AC1201" s="55"/>
      <c r="AD1201" s="55"/>
      <c r="AE1201" s="55"/>
      <c r="AF1201" s="55"/>
      <c r="AG1201" s="55"/>
      <c r="AH1201" s="55"/>
      <c r="AI1201" s="55"/>
      <c r="AJ1201" s="55"/>
      <c r="AK1201" s="55"/>
      <c r="AL1201" s="55"/>
      <c r="AM1201" s="55"/>
      <c r="AN1201" s="55"/>
      <c r="AO1201" s="55"/>
      <c r="AP1201" s="55"/>
      <c r="AQ1201" s="55"/>
      <c r="AR1201" s="55"/>
      <c r="AS1201" s="55"/>
      <c r="AT1201" s="55"/>
      <c r="AU1201" s="55"/>
    </row>
    <row r="1202" spans="1:47" ht="15.75" customHeight="1">
      <c r="A1202" s="75"/>
      <c r="B1202" s="66"/>
      <c r="C1202" s="73"/>
      <c r="D1202" s="73"/>
      <c r="E1202" s="65"/>
      <c r="F1202" s="75"/>
      <c r="G1202" s="75"/>
      <c r="H1202" s="75"/>
      <c r="I1202" s="75"/>
      <c r="J1202" s="75"/>
      <c r="K1202" s="75"/>
      <c r="L1202" s="55"/>
      <c r="M1202" s="55"/>
      <c r="N1202" s="55"/>
      <c r="O1202" s="55"/>
      <c r="P1202" s="55"/>
      <c r="Q1202" s="55"/>
      <c r="R1202" s="55"/>
      <c r="S1202" s="55"/>
      <c r="T1202" s="55"/>
      <c r="U1202" s="55"/>
      <c r="V1202" s="55"/>
      <c r="W1202" s="55"/>
      <c r="X1202" s="55"/>
      <c r="Y1202" s="55"/>
      <c r="Z1202" s="55"/>
      <c r="AA1202" s="55"/>
      <c r="AB1202" s="55"/>
      <c r="AC1202" s="55"/>
      <c r="AD1202" s="55"/>
      <c r="AE1202" s="55"/>
      <c r="AF1202" s="55"/>
      <c r="AG1202" s="55"/>
      <c r="AH1202" s="55"/>
      <c r="AI1202" s="55"/>
      <c r="AJ1202" s="55"/>
      <c r="AK1202" s="55"/>
      <c r="AL1202" s="55"/>
      <c r="AM1202" s="55"/>
      <c r="AN1202" s="55"/>
      <c r="AO1202" s="55"/>
      <c r="AP1202" s="55"/>
      <c r="AQ1202" s="55"/>
      <c r="AR1202" s="55"/>
      <c r="AS1202" s="55"/>
      <c r="AT1202" s="55"/>
      <c r="AU1202" s="55"/>
    </row>
    <row r="1203" spans="1:47" ht="15.75" customHeight="1">
      <c r="A1203" s="75"/>
      <c r="B1203" s="66"/>
      <c r="C1203" s="73"/>
      <c r="D1203" s="73"/>
      <c r="E1203" s="65"/>
      <c r="F1203" s="75"/>
      <c r="G1203" s="75"/>
      <c r="H1203" s="75"/>
      <c r="I1203" s="75"/>
      <c r="J1203" s="75"/>
      <c r="K1203" s="75"/>
      <c r="L1203" s="55"/>
      <c r="M1203" s="55"/>
      <c r="N1203" s="55"/>
      <c r="O1203" s="55"/>
      <c r="P1203" s="55"/>
      <c r="Q1203" s="55"/>
      <c r="R1203" s="55"/>
      <c r="S1203" s="55"/>
      <c r="T1203" s="55"/>
      <c r="U1203" s="55"/>
      <c r="V1203" s="55"/>
      <c r="W1203" s="55"/>
      <c r="X1203" s="55"/>
      <c r="Y1203" s="55"/>
      <c r="Z1203" s="55"/>
      <c r="AA1203" s="55"/>
      <c r="AB1203" s="55"/>
      <c r="AC1203" s="55"/>
      <c r="AD1203" s="55"/>
      <c r="AE1203" s="55"/>
      <c r="AF1203" s="55"/>
      <c r="AG1203" s="55"/>
      <c r="AH1203" s="55"/>
      <c r="AI1203" s="55"/>
      <c r="AJ1203" s="55"/>
      <c r="AK1203" s="55"/>
      <c r="AL1203" s="55"/>
      <c r="AM1203" s="55"/>
      <c r="AN1203" s="55"/>
      <c r="AO1203" s="55"/>
      <c r="AP1203" s="55"/>
      <c r="AQ1203" s="55"/>
      <c r="AR1203" s="55"/>
      <c r="AS1203" s="55"/>
      <c r="AT1203" s="55"/>
      <c r="AU1203" s="55"/>
    </row>
    <row r="1204" spans="1:47" ht="15.75" customHeight="1">
      <c r="A1204" s="75"/>
      <c r="B1204" s="66"/>
      <c r="C1204" s="73"/>
      <c r="D1204" s="73"/>
      <c r="E1204" s="65"/>
      <c r="F1204" s="75"/>
      <c r="G1204" s="75"/>
      <c r="H1204" s="75"/>
      <c r="I1204" s="75"/>
      <c r="J1204" s="75"/>
      <c r="K1204" s="75"/>
      <c r="L1204" s="55"/>
      <c r="M1204" s="55"/>
      <c r="N1204" s="55"/>
      <c r="O1204" s="55"/>
      <c r="P1204" s="55"/>
      <c r="Q1204" s="55"/>
      <c r="R1204" s="55"/>
      <c r="S1204" s="55"/>
      <c r="T1204" s="55"/>
      <c r="U1204" s="55"/>
      <c r="V1204" s="55"/>
      <c r="W1204" s="55"/>
      <c r="X1204" s="55"/>
      <c r="Y1204" s="55"/>
      <c r="Z1204" s="55"/>
      <c r="AA1204" s="55"/>
      <c r="AB1204" s="55"/>
      <c r="AC1204" s="55"/>
      <c r="AD1204" s="55"/>
      <c r="AE1204" s="55"/>
      <c r="AF1204" s="55"/>
      <c r="AG1204" s="55"/>
      <c r="AH1204" s="55"/>
      <c r="AI1204" s="55"/>
      <c r="AJ1204" s="55"/>
      <c r="AK1204" s="55"/>
      <c r="AL1204" s="55"/>
      <c r="AM1204" s="55"/>
      <c r="AN1204" s="55"/>
      <c r="AO1204" s="55"/>
      <c r="AP1204" s="55"/>
      <c r="AQ1204" s="55"/>
      <c r="AR1204" s="55"/>
      <c r="AS1204" s="55"/>
      <c r="AT1204" s="55"/>
      <c r="AU1204" s="55"/>
    </row>
    <row r="1205" spans="1:47" ht="15.75" customHeight="1">
      <c r="A1205" s="75"/>
      <c r="B1205" s="66"/>
      <c r="C1205" s="73"/>
      <c r="D1205" s="73"/>
      <c r="E1205" s="65"/>
      <c r="F1205" s="75"/>
      <c r="G1205" s="75"/>
      <c r="H1205" s="75"/>
      <c r="I1205" s="75"/>
      <c r="J1205" s="75"/>
      <c r="K1205" s="75"/>
      <c r="L1205" s="55"/>
      <c r="M1205" s="55"/>
      <c r="N1205" s="55"/>
      <c r="O1205" s="55"/>
      <c r="P1205" s="55"/>
      <c r="Q1205" s="55"/>
      <c r="R1205" s="55"/>
      <c r="S1205" s="55"/>
      <c r="T1205" s="55"/>
      <c r="U1205" s="55"/>
      <c r="V1205" s="55"/>
      <c r="W1205" s="55"/>
      <c r="X1205" s="55"/>
      <c r="Y1205" s="55"/>
      <c r="Z1205" s="55"/>
      <c r="AA1205" s="55"/>
      <c r="AB1205" s="55"/>
      <c r="AC1205" s="55"/>
      <c r="AD1205" s="55"/>
      <c r="AE1205" s="55"/>
      <c r="AF1205" s="55"/>
      <c r="AG1205" s="55"/>
      <c r="AH1205" s="55"/>
      <c r="AI1205" s="55"/>
      <c r="AJ1205" s="55"/>
      <c r="AK1205" s="55"/>
      <c r="AL1205" s="55"/>
      <c r="AM1205" s="55"/>
      <c r="AN1205" s="55"/>
      <c r="AO1205" s="55"/>
      <c r="AP1205" s="55"/>
      <c r="AQ1205" s="55"/>
      <c r="AR1205" s="55"/>
      <c r="AS1205" s="55"/>
      <c r="AT1205" s="55"/>
      <c r="AU1205" s="55"/>
    </row>
    <row r="1206" spans="1:47" ht="15.75" customHeight="1">
      <c r="A1206" s="75"/>
      <c r="B1206" s="66"/>
      <c r="C1206" s="73"/>
      <c r="D1206" s="73"/>
      <c r="E1206" s="65"/>
      <c r="F1206" s="75"/>
      <c r="G1206" s="75"/>
      <c r="H1206" s="75"/>
      <c r="I1206" s="75"/>
      <c r="J1206" s="75"/>
      <c r="K1206" s="75"/>
      <c r="L1206" s="55"/>
      <c r="M1206" s="55"/>
      <c r="N1206" s="55"/>
      <c r="O1206" s="55"/>
      <c r="P1206" s="55"/>
      <c r="Q1206" s="55"/>
      <c r="R1206" s="55"/>
      <c r="S1206" s="55"/>
      <c r="T1206" s="55"/>
      <c r="U1206" s="55"/>
      <c r="V1206" s="55"/>
      <c r="W1206" s="55"/>
      <c r="X1206" s="55"/>
      <c r="Y1206" s="55"/>
      <c r="Z1206" s="55"/>
      <c r="AA1206" s="55"/>
      <c r="AB1206" s="55"/>
      <c r="AC1206" s="55"/>
      <c r="AD1206" s="55"/>
      <c r="AE1206" s="55"/>
      <c r="AF1206" s="55"/>
      <c r="AG1206" s="55"/>
      <c r="AH1206" s="55"/>
      <c r="AI1206" s="55"/>
      <c r="AJ1206" s="55"/>
      <c r="AK1206" s="55"/>
      <c r="AL1206" s="55"/>
      <c r="AM1206" s="55"/>
      <c r="AN1206" s="55"/>
      <c r="AO1206" s="55"/>
      <c r="AP1206" s="55"/>
      <c r="AQ1206" s="55"/>
      <c r="AR1206" s="55"/>
      <c r="AS1206" s="55"/>
      <c r="AT1206" s="55"/>
      <c r="AU1206" s="55"/>
    </row>
    <row r="1207" spans="1:47" ht="15.75" customHeight="1">
      <c r="A1207" s="75"/>
      <c r="B1207" s="66"/>
      <c r="C1207" s="73"/>
      <c r="D1207" s="73"/>
      <c r="E1207" s="65"/>
      <c r="F1207" s="75"/>
      <c r="G1207" s="75"/>
      <c r="H1207" s="75"/>
      <c r="I1207" s="75"/>
      <c r="J1207" s="75"/>
      <c r="K1207" s="75"/>
      <c r="L1207" s="55"/>
      <c r="M1207" s="55"/>
      <c r="N1207" s="55"/>
      <c r="O1207" s="55"/>
      <c r="P1207" s="55"/>
      <c r="Q1207" s="55"/>
      <c r="R1207" s="55"/>
      <c r="S1207" s="55"/>
      <c r="T1207" s="55"/>
      <c r="U1207" s="55"/>
      <c r="V1207" s="55"/>
      <c r="W1207" s="55"/>
      <c r="X1207" s="55"/>
      <c r="Y1207" s="55"/>
      <c r="Z1207" s="55"/>
      <c r="AA1207" s="55"/>
      <c r="AB1207" s="55"/>
      <c r="AC1207" s="55"/>
      <c r="AD1207" s="55"/>
      <c r="AE1207" s="55"/>
      <c r="AF1207" s="55"/>
      <c r="AG1207" s="55"/>
      <c r="AH1207" s="55"/>
      <c r="AI1207" s="55"/>
      <c r="AJ1207" s="55"/>
      <c r="AK1207" s="55"/>
      <c r="AL1207" s="55"/>
      <c r="AM1207" s="55"/>
      <c r="AN1207" s="55"/>
      <c r="AO1207" s="55"/>
      <c r="AP1207" s="55"/>
      <c r="AQ1207" s="55"/>
      <c r="AR1207" s="55"/>
      <c r="AS1207" s="55"/>
      <c r="AT1207" s="55"/>
      <c r="AU1207" s="55"/>
    </row>
    <row r="1208" spans="1:47" ht="15.75" customHeight="1">
      <c r="A1208" s="75"/>
      <c r="B1208" s="66"/>
      <c r="C1208" s="73"/>
      <c r="D1208" s="73"/>
      <c r="E1208" s="65"/>
      <c r="F1208" s="75"/>
      <c r="G1208" s="75"/>
      <c r="H1208" s="75"/>
      <c r="I1208" s="75"/>
      <c r="J1208" s="75"/>
      <c r="K1208" s="75"/>
      <c r="L1208" s="55"/>
      <c r="M1208" s="55"/>
      <c r="N1208" s="55"/>
      <c r="O1208" s="55"/>
      <c r="P1208" s="55"/>
      <c r="Q1208" s="55"/>
      <c r="R1208" s="55"/>
      <c r="S1208" s="55"/>
      <c r="T1208" s="55"/>
      <c r="U1208" s="55"/>
      <c r="V1208" s="55"/>
      <c r="W1208" s="55"/>
      <c r="X1208" s="55"/>
      <c r="Y1208" s="55"/>
      <c r="Z1208" s="55"/>
      <c r="AA1208" s="55"/>
      <c r="AB1208" s="55"/>
      <c r="AC1208" s="55"/>
      <c r="AD1208" s="55"/>
      <c r="AE1208" s="55"/>
      <c r="AF1208" s="55"/>
      <c r="AG1208" s="55"/>
      <c r="AH1208" s="55"/>
      <c r="AI1208" s="55"/>
      <c r="AJ1208" s="55"/>
      <c r="AK1208" s="55"/>
      <c r="AL1208" s="55"/>
      <c r="AM1208" s="55"/>
      <c r="AN1208" s="55"/>
      <c r="AO1208" s="55"/>
      <c r="AP1208" s="55"/>
      <c r="AQ1208" s="55"/>
      <c r="AR1208" s="55"/>
      <c r="AS1208" s="55"/>
      <c r="AT1208" s="55"/>
      <c r="AU1208" s="55"/>
    </row>
    <row r="1209" spans="1:47" ht="15.75" customHeight="1">
      <c r="A1209" s="75"/>
      <c r="B1209" s="66"/>
      <c r="C1209" s="73"/>
      <c r="D1209" s="73"/>
      <c r="E1209" s="65"/>
      <c r="F1209" s="75"/>
      <c r="G1209" s="75"/>
      <c r="H1209" s="75"/>
      <c r="I1209" s="75"/>
      <c r="J1209" s="75"/>
      <c r="K1209" s="75"/>
      <c r="L1209" s="55"/>
      <c r="M1209" s="55"/>
      <c r="N1209" s="55"/>
      <c r="O1209" s="55"/>
      <c r="P1209" s="55"/>
      <c r="Q1209" s="55"/>
      <c r="R1209" s="55"/>
      <c r="S1209" s="55"/>
      <c r="T1209" s="55"/>
      <c r="U1209" s="55"/>
      <c r="V1209" s="55"/>
      <c r="W1209" s="55"/>
      <c r="X1209" s="55"/>
      <c r="Y1209" s="55"/>
      <c r="Z1209" s="55"/>
      <c r="AA1209" s="55"/>
      <c r="AB1209" s="55"/>
      <c r="AC1209" s="55"/>
      <c r="AD1209" s="55"/>
      <c r="AE1209" s="55"/>
      <c r="AF1209" s="55"/>
      <c r="AG1209" s="55"/>
      <c r="AH1209" s="55"/>
      <c r="AI1209" s="55"/>
      <c r="AJ1209" s="55"/>
      <c r="AK1209" s="55"/>
      <c r="AL1209" s="55"/>
      <c r="AM1209" s="55"/>
      <c r="AN1209" s="55"/>
      <c r="AO1209" s="55"/>
      <c r="AP1209" s="55"/>
      <c r="AQ1209" s="55"/>
      <c r="AR1209" s="55"/>
      <c r="AS1209" s="55"/>
      <c r="AT1209" s="55"/>
      <c r="AU1209" s="55"/>
    </row>
    <row r="1210" spans="1:47" ht="15.75" customHeight="1">
      <c r="A1210" s="75"/>
      <c r="B1210" s="66"/>
      <c r="C1210" s="73"/>
      <c r="D1210" s="73"/>
      <c r="E1210" s="65"/>
      <c r="F1210" s="75"/>
      <c r="G1210" s="75"/>
      <c r="H1210" s="75"/>
      <c r="I1210" s="75"/>
      <c r="J1210" s="75"/>
      <c r="K1210" s="75"/>
      <c r="L1210" s="55"/>
      <c r="M1210" s="55"/>
      <c r="N1210" s="55"/>
      <c r="O1210" s="55"/>
      <c r="P1210" s="55"/>
      <c r="Q1210" s="55"/>
      <c r="R1210" s="55"/>
      <c r="S1210" s="55"/>
      <c r="T1210" s="55"/>
      <c r="U1210" s="55"/>
      <c r="V1210" s="55"/>
      <c r="W1210" s="55"/>
      <c r="X1210" s="55"/>
      <c r="Y1210" s="55"/>
      <c r="Z1210" s="55"/>
      <c r="AA1210" s="55"/>
      <c r="AB1210" s="55"/>
      <c r="AC1210" s="55"/>
      <c r="AD1210" s="55"/>
      <c r="AE1210" s="55"/>
      <c r="AF1210" s="55"/>
      <c r="AG1210" s="55"/>
      <c r="AH1210" s="55"/>
      <c r="AI1210" s="55"/>
      <c r="AJ1210" s="55"/>
      <c r="AK1210" s="55"/>
      <c r="AL1210" s="55"/>
      <c r="AM1210" s="55"/>
      <c r="AN1210" s="55"/>
      <c r="AO1210" s="55"/>
      <c r="AP1210" s="55"/>
      <c r="AQ1210" s="55"/>
      <c r="AR1210" s="55"/>
      <c r="AS1210" s="55"/>
      <c r="AT1210" s="55"/>
      <c r="AU1210" s="55"/>
    </row>
    <row r="1211" spans="1:47" ht="15.75" customHeight="1">
      <c r="A1211" s="75"/>
      <c r="B1211" s="66"/>
      <c r="C1211" s="73"/>
      <c r="D1211" s="73"/>
      <c r="E1211" s="65"/>
      <c r="F1211" s="75"/>
      <c r="G1211" s="75"/>
      <c r="H1211" s="75"/>
      <c r="I1211" s="75"/>
      <c r="J1211" s="75"/>
      <c r="K1211" s="75"/>
      <c r="L1211" s="55"/>
      <c r="M1211" s="55"/>
      <c r="N1211" s="55"/>
      <c r="O1211" s="55"/>
      <c r="P1211" s="55"/>
      <c r="Q1211" s="55"/>
      <c r="R1211" s="55"/>
      <c r="S1211" s="55"/>
      <c r="T1211" s="55"/>
      <c r="U1211" s="55"/>
      <c r="V1211" s="55"/>
      <c r="W1211" s="55"/>
      <c r="X1211" s="55"/>
      <c r="Y1211" s="55"/>
      <c r="Z1211" s="55"/>
      <c r="AA1211" s="55"/>
      <c r="AB1211" s="55"/>
      <c r="AC1211" s="55"/>
      <c r="AD1211" s="55"/>
      <c r="AE1211" s="55"/>
      <c r="AF1211" s="55"/>
      <c r="AG1211" s="55"/>
      <c r="AH1211" s="55"/>
      <c r="AI1211" s="55"/>
      <c r="AJ1211" s="55"/>
      <c r="AK1211" s="55"/>
      <c r="AL1211" s="55"/>
      <c r="AM1211" s="55"/>
      <c r="AN1211" s="55"/>
      <c r="AO1211" s="55"/>
      <c r="AP1211" s="55"/>
      <c r="AQ1211" s="55"/>
      <c r="AR1211" s="55"/>
      <c r="AS1211" s="55"/>
      <c r="AT1211" s="55"/>
      <c r="AU1211" s="55"/>
    </row>
    <row r="1212" spans="1:47" ht="15.75" customHeight="1">
      <c r="A1212" s="75"/>
      <c r="B1212" s="66"/>
      <c r="C1212" s="73"/>
      <c r="D1212" s="73"/>
      <c r="E1212" s="65"/>
      <c r="F1212" s="75"/>
      <c r="G1212" s="75"/>
      <c r="H1212" s="75"/>
      <c r="I1212" s="75"/>
      <c r="J1212" s="75"/>
      <c r="K1212" s="75"/>
      <c r="L1212" s="55"/>
      <c r="M1212" s="55"/>
      <c r="N1212" s="55"/>
      <c r="O1212" s="55"/>
      <c r="P1212" s="55"/>
      <c r="Q1212" s="55"/>
      <c r="R1212" s="55"/>
      <c r="S1212" s="55"/>
      <c r="T1212" s="55"/>
      <c r="U1212" s="55"/>
      <c r="V1212" s="55"/>
      <c r="W1212" s="55"/>
      <c r="X1212" s="55"/>
      <c r="Y1212" s="55"/>
      <c r="Z1212" s="55"/>
      <c r="AA1212" s="55"/>
      <c r="AB1212" s="55"/>
      <c r="AC1212" s="55"/>
      <c r="AD1212" s="55"/>
      <c r="AE1212" s="55"/>
      <c r="AF1212" s="55"/>
      <c r="AG1212" s="55"/>
      <c r="AH1212" s="55"/>
      <c r="AI1212" s="55"/>
      <c r="AJ1212" s="55"/>
      <c r="AK1212" s="55"/>
      <c r="AL1212" s="55"/>
      <c r="AM1212" s="55"/>
      <c r="AN1212" s="55"/>
      <c r="AO1212" s="55"/>
      <c r="AP1212" s="55"/>
      <c r="AQ1212" s="55"/>
      <c r="AR1212" s="55"/>
      <c r="AS1212" s="55"/>
      <c r="AT1212" s="55"/>
      <c r="AU1212" s="55"/>
    </row>
    <row r="1213" spans="1:47" ht="15.75" customHeight="1">
      <c r="A1213" s="75"/>
      <c r="B1213" s="66"/>
      <c r="C1213" s="73"/>
      <c r="D1213" s="73"/>
      <c r="E1213" s="65"/>
      <c r="F1213" s="75"/>
      <c r="G1213" s="75"/>
      <c r="H1213" s="75"/>
      <c r="I1213" s="75"/>
      <c r="J1213" s="75"/>
      <c r="K1213" s="75"/>
      <c r="L1213" s="55"/>
      <c r="M1213" s="55"/>
      <c r="N1213" s="55"/>
      <c r="O1213" s="55"/>
      <c r="P1213" s="55"/>
      <c r="Q1213" s="55"/>
      <c r="R1213" s="55"/>
      <c r="S1213" s="55"/>
      <c r="T1213" s="55"/>
      <c r="U1213" s="55"/>
      <c r="V1213" s="55"/>
      <c r="W1213" s="55"/>
      <c r="X1213" s="55"/>
      <c r="Y1213" s="55"/>
      <c r="Z1213" s="55"/>
      <c r="AA1213" s="55"/>
      <c r="AB1213" s="55"/>
      <c r="AC1213" s="55"/>
      <c r="AD1213" s="55"/>
      <c r="AE1213" s="55"/>
      <c r="AF1213" s="55"/>
      <c r="AG1213" s="55"/>
      <c r="AH1213" s="55"/>
      <c r="AI1213" s="55"/>
      <c r="AJ1213" s="55"/>
      <c r="AK1213" s="55"/>
      <c r="AL1213" s="55"/>
      <c r="AM1213" s="55"/>
      <c r="AN1213" s="55"/>
      <c r="AO1213" s="55"/>
      <c r="AP1213" s="55"/>
      <c r="AQ1213" s="55"/>
      <c r="AR1213" s="55"/>
      <c r="AS1213" s="55"/>
      <c r="AT1213" s="55"/>
      <c r="AU1213" s="55"/>
    </row>
    <row r="1214" spans="1:47" ht="15.75" customHeight="1">
      <c r="A1214" s="75"/>
      <c r="B1214" s="66"/>
      <c r="C1214" s="73"/>
      <c r="D1214" s="73"/>
      <c r="E1214" s="65"/>
      <c r="F1214" s="75"/>
      <c r="G1214" s="75"/>
      <c r="H1214" s="75"/>
      <c r="I1214" s="75"/>
      <c r="J1214" s="75"/>
      <c r="K1214" s="75"/>
      <c r="L1214" s="55"/>
      <c r="M1214" s="55"/>
      <c r="N1214" s="55"/>
      <c r="O1214" s="55"/>
      <c r="P1214" s="55"/>
      <c r="Q1214" s="55"/>
      <c r="R1214" s="55"/>
      <c r="S1214" s="55"/>
      <c r="T1214" s="55"/>
      <c r="U1214" s="55"/>
      <c r="V1214" s="55"/>
      <c r="W1214" s="55"/>
      <c r="X1214" s="55"/>
      <c r="Y1214" s="55"/>
      <c r="Z1214" s="55"/>
      <c r="AA1214" s="55"/>
      <c r="AB1214" s="55"/>
      <c r="AC1214" s="55"/>
      <c r="AD1214" s="55"/>
      <c r="AE1214" s="55"/>
      <c r="AF1214" s="55"/>
      <c r="AG1214" s="55"/>
      <c r="AH1214" s="55"/>
      <c r="AI1214" s="55"/>
      <c r="AJ1214" s="55"/>
      <c r="AK1214" s="55"/>
      <c r="AL1214" s="55"/>
      <c r="AM1214" s="55"/>
      <c r="AN1214" s="55"/>
      <c r="AO1214" s="55"/>
      <c r="AP1214" s="55"/>
      <c r="AQ1214" s="55"/>
      <c r="AR1214" s="55"/>
      <c r="AS1214" s="55"/>
      <c r="AT1214" s="55"/>
      <c r="AU1214" s="55"/>
    </row>
    <row r="1215" spans="1:47" ht="15.75" customHeight="1">
      <c r="A1215" s="75"/>
      <c r="B1215" s="66"/>
      <c r="C1215" s="73"/>
      <c r="D1215" s="73"/>
      <c r="E1215" s="65"/>
      <c r="F1215" s="75"/>
      <c r="G1215" s="75"/>
      <c r="H1215" s="75"/>
      <c r="I1215" s="75"/>
      <c r="J1215" s="75"/>
      <c r="K1215" s="75"/>
      <c r="L1215" s="55"/>
      <c r="M1215" s="55"/>
      <c r="N1215" s="55"/>
      <c r="O1215" s="55"/>
      <c r="P1215" s="55"/>
      <c r="Q1215" s="55"/>
      <c r="R1215" s="55"/>
      <c r="S1215" s="55"/>
      <c r="T1215" s="55"/>
      <c r="U1215" s="55"/>
      <c r="V1215" s="55"/>
      <c r="W1215" s="55"/>
      <c r="X1215" s="55"/>
      <c r="Y1215" s="55"/>
      <c r="Z1215" s="55"/>
      <c r="AA1215" s="55"/>
      <c r="AB1215" s="55"/>
      <c r="AC1215" s="55"/>
      <c r="AD1215" s="55"/>
      <c r="AE1215" s="55"/>
      <c r="AF1215" s="55"/>
      <c r="AG1215" s="55"/>
      <c r="AH1215" s="55"/>
      <c r="AI1215" s="55"/>
      <c r="AJ1215" s="55"/>
      <c r="AK1215" s="55"/>
      <c r="AL1215" s="55"/>
      <c r="AM1215" s="55"/>
      <c r="AN1215" s="55"/>
      <c r="AO1215" s="55"/>
      <c r="AP1215" s="55"/>
      <c r="AQ1215" s="55"/>
      <c r="AR1215" s="55"/>
      <c r="AS1215" s="55"/>
      <c r="AT1215" s="55"/>
      <c r="AU1215" s="55"/>
    </row>
    <row r="1216" spans="1:47" ht="15.75" customHeight="1">
      <c r="A1216" s="75"/>
      <c r="B1216" s="66"/>
      <c r="C1216" s="73"/>
      <c r="D1216" s="73"/>
      <c r="E1216" s="65"/>
      <c r="F1216" s="75"/>
      <c r="G1216" s="75"/>
      <c r="H1216" s="75"/>
      <c r="I1216" s="75"/>
      <c r="J1216" s="75"/>
      <c r="K1216" s="75"/>
      <c r="L1216" s="55"/>
      <c r="M1216" s="55"/>
      <c r="N1216" s="55"/>
      <c r="O1216" s="55"/>
      <c r="P1216" s="55"/>
      <c r="Q1216" s="55"/>
      <c r="R1216" s="55"/>
      <c r="S1216" s="55"/>
      <c r="T1216" s="55"/>
      <c r="U1216" s="55"/>
      <c r="V1216" s="55"/>
      <c r="W1216" s="55"/>
      <c r="X1216" s="55"/>
      <c r="Y1216" s="55"/>
      <c r="Z1216" s="55"/>
      <c r="AA1216" s="55"/>
      <c r="AB1216" s="55"/>
      <c r="AC1216" s="55"/>
      <c r="AD1216" s="55"/>
      <c r="AE1216" s="55"/>
      <c r="AF1216" s="55"/>
      <c r="AG1216" s="55"/>
      <c r="AH1216" s="55"/>
      <c r="AI1216" s="55"/>
      <c r="AJ1216" s="55"/>
      <c r="AK1216" s="55"/>
      <c r="AL1216" s="55"/>
      <c r="AM1216" s="55"/>
      <c r="AN1216" s="55"/>
      <c r="AO1216" s="55"/>
      <c r="AP1216" s="55"/>
      <c r="AQ1216" s="55"/>
      <c r="AR1216" s="55"/>
      <c r="AS1216" s="55"/>
      <c r="AT1216" s="55"/>
      <c r="AU1216" s="55"/>
    </row>
    <row r="1217" spans="1:47" ht="15.75" customHeight="1">
      <c r="A1217" s="75"/>
      <c r="B1217" s="66"/>
      <c r="C1217" s="73"/>
      <c r="D1217" s="73"/>
      <c r="E1217" s="65"/>
      <c r="F1217" s="75"/>
      <c r="G1217" s="75"/>
      <c r="H1217" s="75"/>
      <c r="I1217" s="75"/>
      <c r="J1217" s="75"/>
      <c r="K1217" s="75"/>
      <c r="L1217" s="55"/>
      <c r="M1217" s="55"/>
      <c r="N1217" s="55"/>
      <c r="O1217" s="55"/>
      <c r="P1217" s="55"/>
      <c r="Q1217" s="55"/>
      <c r="R1217" s="55"/>
      <c r="S1217" s="55"/>
      <c r="T1217" s="55"/>
      <c r="U1217" s="55"/>
      <c r="V1217" s="55"/>
      <c r="W1217" s="55"/>
      <c r="X1217" s="55"/>
      <c r="Y1217" s="55"/>
      <c r="Z1217" s="55"/>
      <c r="AA1217" s="55"/>
      <c r="AB1217" s="55"/>
      <c r="AC1217" s="55"/>
      <c r="AD1217" s="55"/>
      <c r="AE1217" s="55"/>
      <c r="AF1217" s="55"/>
      <c r="AG1217" s="55"/>
      <c r="AH1217" s="55"/>
      <c r="AI1217" s="55"/>
      <c r="AJ1217" s="55"/>
      <c r="AK1217" s="55"/>
      <c r="AL1217" s="55"/>
      <c r="AM1217" s="55"/>
      <c r="AN1217" s="55"/>
      <c r="AO1217" s="55"/>
      <c r="AP1217" s="55"/>
      <c r="AQ1217" s="55"/>
      <c r="AR1217" s="55"/>
      <c r="AS1217" s="55"/>
      <c r="AT1217" s="55"/>
      <c r="AU1217" s="55"/>
    </row>
    <row r="1218" spans="1:47" ht="15.75" customHeight="1">
      <c r="A1218" s="75"/>
      <c r="B1218" s="66"/>
      <c r="C1218" s="73"/>
      <c r="D1218" s="73"/>
      <c r="E1218" s="65"/>
      <c r="F1218" s="75"/>
      <c r="G1218" s="75"/>
      <c r="H1218" s="75"/>
      <c r="I1218" s="75"/>
      <c r="J1218" s="75"/>
      <c r="K1218" s="75"/>
      <c r="L1218" s="55"/>
      <c r="M1218" s="55"/>
      <c r="N1218" s="55"/>
      <c r="O1218" s="55"/>
      <c r="P1218" s="55"/>
      <c r="Q1218" s="55"/>
      <c r="R1218" s="55"/>
      <c r="S1218" s="55"/>
      <c r="T1218" s="55"/>
      <c r="U1218" s="55"/>
      <c r="V1218" s="55"/>
      <c r="W1218" s="55"/>
      <c r="X1218" s="55"/>
      <c r="Y1218" s="55"/>
      <c r="Z1218" s="55"/>
      <c r="AA1218" s="55"/>
      <c r="AB1218" s="55"/>
      <c r="AC1218" s="55"/>
      <c r="AD1218" s="55"/>
      <c r="AE1218" s="55"/>
      <c r="AF1218" s="55"/>
      <c r="AG1218" s="55"/>
      <c r="AH1218" s="55"/>
      <c r="AI1218" s="55"/>
      <c r="AJ1218" s="55"/>
      <c r="AK1218" s="55"/>
      <c r="AL1218" s="55"/>
      <c r="AM1218" s="55"/>
      <c r="AN1218" s="55"/>
      <c r="AO1218" s="55"/>
      <c r="AP1218" s="55"/>
      <c r="AQ1218" s="55"/>
      <c r="AR1218" s="55"/>
      <c r="AS1218" s="55"/>
      <c r="AT1218" s="55"/>
      <c r="AU1218" s="55"/>
    </row>
    <row r="1219" spans="1:47" ht="15.75" customHeight="1">
      <c r="A1219" s="75"/>
      <c r="B1219" s="66"/>
      <c r="C1219" s="73"/>
      <c r="D1219" s="73"/>
      <c r="E1219" s="65"/>
      <c r="F1219" s="75"/>
      <c r="G1219" s="75"/>
      <c r="H1219" s="75"/>
      <c r="I1219" s="75"/>
      <c r="J1219" s="75"/>
      <c r="K1219" s="75"/>
      <c r="L1219" s="55"/>
      <c r="M1219" s="55"/>
      <c r="N1219" s="55"/>
      <c r="O1219" s="55"/>
      <c r="P1219" s="55"/>
      <c r="Q1219" s="55"/>
      <c r="R1219" s="55"/>
      <c r="S1219" s="55"/>
      <c r="T1219" s="55"/>
      <c r="U1219" s="55"/>
      <c r="V1219" s="55"/>
      <c r="W1219" s="55"/>
      <c r="X1219" s="55"/>
      <c r="Y1219" s="55"/>
      <c r="Z1219" s="55"/>
      <c r="AA1219" s="55"/>
      <c r="AB1219" s="55"/>
      <c r="AC1219" s="55"/>
      <c r="AD1219" s="55"/>
      <c r="AE1219" s="55"/>
      <c r="AF1219" s="55"/>
      <c r="AG1219" s="55"/>
      <c r="AH1219" s="55"/>
      <c r="AI1219" s="55"/>
      <c r="AJ1219" s="55"/>
      <c r="AK1219" s="55"/>
      <c r="AL1219" s="55"/>
      <c r="AM1219" s="55"/>
      <c r="AN1219" s="55"/>
      <c r="AO1219" s="55"/>
      <c r="AP1219" s="55"/>
      <c r="AQ1219" s="55"/>
      <c r="AR1219" s="55"/>
      <c r="AS1219" s="55"/>
      <c r="AT1219" s="55"/>
      <c r="AU1219" s="55"/>
    </row>
    <row r="1220" spans="1:47" ht="15.75" customHeight="1">
      <c r="A1220" s="75"/>
      <c r="B1220" s="66"/>
      <c r="C1220" s="73"/>
      <c r="D1220" s="73"/>
      <c r="E1220" s="65"/>
      <c r="F1220" s="75"/>
      <c r="G1220" s="75"/>
      <c r="H1220" s="75"/>
      <c r="I1220" s="75"/>
      <c r="J1220" s="75"/>
      <c r="K1220" s="75"/>
      <c r="L1220" s="55"/>
      <c r="M1220" s="55"/>
      <c r="N1220" s="55"/>
      <c r="O1220" s="55"/>
      <c r="P1220" s="55"/>
      <c r="Q1220" s="55"/>
      <c r="R1220" s="55"/>
      <c r="S1220" s="55"/>
      <c r="T1220" s="55"/>
      <c r="U1220" s="55"/>
      <c r="V1220" s="55"/>
      <c r="W1220" s="55"/>
      <c r="X1220" s="55"/>
      <c r="Y1220" s="55"/>
      <c r="Z1220" s="55"/>
      <c r="AA1220" s="55"/>
      <c r="AB1220" s="55"/>
      <c r="AC1220" s="55"/>
      <c r="AD1220" s="55"/>
      <c r="AE1220" s="55"/>
      <c r="AF1220" s="55"/>
      <c r="AG1220" s="55"/>
      <c r="AH1220" s="55"/>
      <c r="AI1220" s="55"/>
      <c r="AJ1220" s="55"/>
      <c r="AK1220" s="55"/>
      <c r="AL1220" s="55"/>
      <c r="AM1220" s="55"/>
      <c r="AN1220" s="55"/>
      <c r="AO1220" s="55"/>
      <c r="AP1220" s="55"/>
      <c r="AQ1220" s="55"/>
      <c r="AR1220" s="55"/>
      <c r="AS1220" s="55"/>
      <c r="AT1220" s="55"/>
      <c r="AU1220" s="55"/>
    </row>
    <row r="1221" spans="1:47" ht="15.75" customHeight="1">
      <c r="A1221" s="75"/>
      <c r="B1221" s="66"/>
      <c r="C1221" s="73"/>
      <c r="D1221" s="73"/>
      <c r="E1221" s="65"/>
      <c r="F1221" s="75"/>
      <c r="G1221" s="75"/>
      <c r="H1221" s="75"/>
      <c r="I1221" s="75"/>
      <c r="J1221" s="75"/>
      <c r="K1221" s="75"/>
      <c r="L1221" s="55"/>
      <c r="M1221" s="55"/>
      <c r="N1221" s="55"/>
      <c r="O1221" s="55"/>
      <c r="P1221" s="55"/>
      <c r="Q1221" s="55"/>
      <c r="R1221" s="55"/>
      <c r="S1221" s="55"/>
      <c r="T1221" s="55"/>
      <c r="U1221" s="55"/>
      <c r="V1221" s="55"/>
      <c r="W1221" s="55"/>
      <c r="X1221" s="55"/>
      <c r="Y1221" s="55"/>
      <c r="Z1221" s="55"/>
      <c r="AA1221" s="55"/>
      <c r="AB1221" s="55"/>
      <c r="AC1221" s="55"/>
      <c r="AD1221" s="55"/>
      <c r="AE1221" s="55"/>
      <c r="AF1221" s="55"/>
      <c r="AG1221" s="55"/>
      <c r="AH1221" s="55"/>
      <c r="AI1221" s="55"/>
      <c r="AJ1221" s="55"/>
      <c r="AK1221" s="55"/>
      <c r="AL1221" s="55"/>
      <c r="AM1221" s="55"/>
      <c r="AN1221" s="55"/>
      <c r="AO1221" s="55"/>
      <c r="AP1221" s="55"/>
      <c r="AQ1221" s="55"/>
      <c r="AR1221" s="55"/>
      <c r="AS1221" s="55"/>
      <c r="AT1221" s="55"/>
      <c r="AU1221" s="55"/>
    </row>
    <row r="1222" spans="1:47" ht="15.75" customHeight="1">
      <c r="A1222" s="75"/>
      <c r="B1222" s="66"/>
      <c r="C1222" s="73"/>
      <c r="D1222" s="73"/>
      <c r="E1222" s="65"/>
      <c r="F1222" s="75"/>
      <c r="G1222" s="75"/>
      <c r="H1222" s="75"/>
      <c r="I1222" s="75"/>
      <c r="J1222" s="75"/>
      <c r="K1222" s="75"/>
      <c r="L1222" s="55"/>
      <c r="M1222" s="55"/>
      <c r="N1222" s="55"/>
      <c r="O1222" s="55"/>
      <c r="P1222" s="55"/>
      <c r="Q1222" s="55"/>
      <c r="R1222" s="55"/>
      <c r="S1222" s="55"/>
      <c r="T1222" s="55"/>
      <c r="U1222" s="55"/>
      <c r="V1222" s="55"/>
      <c r="W1222" s="55"/>
      <c r="X1222" s="55"/>
      <c r="Y1222" s="55"/>
      <c r="Z1222" s="55"/>
      <c r="AA1222" s="55"/>
      <c r="AB1222" s="55"/>
      <c r="AC1222" s="55"/>
      <c r="AD1222" s="55"/>
      <c r="AE1222" s="55"/>
      <c r="AF1222" s="55"/>
      <c r="AG1222" s="55"/>
      <c r="AH1222" s="55"/>
      <c r="AI1222" s="55"/>
      <c r="AJ1222" s="55"/>
      <c r="AK1222" s="55"/>
      <c r="AL1222" s="55"/>
      <c r="AM1222" s="55"/>
      <c r="AN1222" s="55"/>
      <c r="AO1222" s="55"/>
      <c r="AP1222" s="55"/>
      <c r="AQ1222" s="55"/>
      <c r="AR1222" s="55"/>
      <c r="AS1222" s="55"/>
      <c r="AT1222" s="55"/>
      <c r="AU1222" s="55"/>
    </row>
    <row r="1223" spans="1:47" ht="15.75" customHeight="1">
      <c r="A1223" s="75"/>
      <c r="B1223" s="66"/>
      <c r="C1223" s="73"/>
      <c r="D1223" s="73"/>
      <c r="E1223" s="65"/>
      <c r="F1223" s="75"/>
      <c r="G1223" s="75"/>
      <c r="H1223" s="75"/>
      <c r="I1223" s="75"/>
      <c r="J1223" s="75"/>
      <c r="K1223" s="75"/>
      <c r="L1223" s="55"/>
      <c r="M1223" s="55"/>
      <c r="N1223" s="55"/>
      <c r="O1223" s="55"/>
      <c r="P1223" s="55"/>
      <c r="Q1223" s="55"/>
      <c r="R1223" s="55"/>
      <c r="S1223" s="55"/>
      <c r="T1223" s="55"/>
      <c r="U1223" s="55"/>
      <c r="V1223" s="55"/>
      <c r="W1223" s="55"/>
      <c r="X1223" s="55"/>
      <c r="Y1223" s="55"/>
      <c r="Z1223" s="55"/>
      <c r="AA1223" s="55"/>
      <c r="AB1223" s="55"/>
      <c r="AC1223" s="55"/>
      <c r="AD1223" s="55"/>
      <c r="AE1223" s="55"/>
      <c r="AF1223" s="55"/>
      <c r="AG1223" s="55"/>
      <c r="AH1223" s="55"/>
      <c r="AI1223" s="55"/>
      <c r="AJ1223" s="55"/>
      <c r="AK1223" s="55"/>
      <c r="AL1223" s="55"/>
      <c r="AM1223" s="55"/>
      <c r="AN1223" s="55"/>
      <c r="AO1223" s="55"/>
      <c r="AP1223" s="55"/>
      <c r="AQ1223" s="55"/>
      <c r="AR1223" s="55"/>
      <c r="AS1223" s="55"/>
      <c r="AT1223" s="55"/>
      <c r="AU1223" s="55"/>
    </row>
    <row r="1224" spans="1:47" ht="15.75" customHeight="1">
      <c r="A1224" s="75"/>
      <c r="B1224" s="66"/>
      <c r="C1224" s="73"/>
      <c r="D1224" s="73"/>
      <c r="E1224" s="65"/>
      <c r="F1224" s="75"/>
      <c r="G1224" s="75"/>
      <c r="H1224" s="75"/>
      <c r="I1224" s="75"/>
      <c r="J1224" s="75"/>
      <c r="K1224" s="75"/>
      <c r="L1224" s="55"/>
      <c r="M1224" s="55"/>
      <c r="N1224" s="55"/>
      <c r="O1224" s="55"/>
      <c r="P1224" s="55"/>
      <c r="Q1224" s="55"/>
      <c r="R1224" s="55"/>
      <c r="S1224" s="55"/>
      <c r="T1224" s="55"/>
      <c r="U1224" s="55"/>
      <c r="V1224" s="55"/>
      <c r="W1224" s="55"/>
      <c r="X1224" s="55"/>
      <c r="Y1224" s="55"/>
      <c r="Z1224" s="55"/>
      <c r="AA1224" s="55"/>
      <c r="AB1224" s="55"/>
      <c r="AC1224" s="55"/>
      <c r="AD1224" s="55"/>
      <c r="AE1224" s="55"/>
      <c r="AF1224" s="55"/>
      <c r="AG1224" s="55"/>
      <c r="AH1224" s="55"/>
      <c r="AI1224" s="55"/>
      <c r="AJ1224" s="55"/>
      <c r="AK1224" s="55"/>
      <c r="AL1224" s="55"/>
      <c r="AM1224" s="55"/>
      <c r="AN1224" s="55"/>
      <c r="AO1224" s="55"/>
      <c r="AP1224" s="55"/>
      <c r="AQ1224" s="55"/>
      <c r="AR1224" s="55"/>
      <c r="AS1224" s="55"/>
      <c r="AT1224" s="55"/>
      <c r="AU1224" s="55"/>
    </row>
    <row r="1225" spans="1:47" ht="15.75" customHeight="1">
      <c r="A1225" s="75"/>
      <c r="B1225" s="66"/>
      <c r="C1225" s="73"/>
      <c r="D1225" s="73"/>
      <c r="E1225" s="65"/>
      <c r="F1225" s="75"/>
      <c r="G1225" s="75"/>
      <c r="H1225" s="75"/>
      <c r="I1225" s="75"/>
      <c r="J1225" s="75"/>
      <c r="K1225" s="75"/>
      <c r="L1225" s="55"/>
      <c r="M1225" s="55"/>
      <c r="N1225" s="55"/>
      <c r="O1225" s="55"/>
      <c r="P1225" s="55"/>
      <c r="Q1225" s="55"/>
      <c r="R1225" s="55"/>
      <c r="S1225" s="55"/>
      <c r="T1225" s="55"/>
      <c r="U1225" s="55"/>
      <c r="V1225" s="55"/>
      <c r="W1225" s="55"/>
      <c r="X1225" s="55"/>
      <c r="Y1225" s="55"/>
      <c r="Z1225" s="55"/>
      <c r="AA1225" s="55"/>
      <c r="AB1225" s="55"/>
      <c r="AC1225" s="55"/>
      <c r="AD1225" s="55"/>
      <c r="AE1225" s="55"/>
      <c r="AF1225" s="55"/>
      <c r="AG1225" s="55"/>
      <c r="AH1225" s="55"/>
      <c r="AI1225" s="55"/>
      <c r="AJ1225" s="55"/>
      <c r="AK1225" s="55"/>
      <c r="AL1225" s="55"/>
      <c r="AM1225" s="55"/>
      <c r="AN1225" s="55"/>
      <c r="AO1225" s="55"/>
      <c r="AP1225" s="55"/>
      <c r="AQ1225" s="55"/>
      <c r="AR1225" s="55"/>
      <c r="AS1225" s="55"/>
      <c r="AT1225" s="55"/>
      <c r="AU1225" s="55"/>
    </row>
    <row r="1226" spans="1:47" ht="15.75" customHeight="1">
      <c r="A1226" s="75"/>
      <c r="B1226" s="66"/>
      <c r="C1226" s="73"/>
      <c r="D1226" s="73"/>
      <c r="E1226" s="65"/>
      <c r="F1226" s="75"/>
      <c r="G1226" s="75"/>
      <c r="H1226" s="75"/>
      <c r="I1226" s="75"/>
      <c r="J1226" s="75"/>
      <c r="K1226" s="75"/>
      <c r="L1226" s="55"/>
      <c r="M1226" s="55"/>
      <c r="N1226" s="55"/>
      <c r="O1226" s="55"/>
      <c r="P1226" s="55"/>
      <c r="Q1226" s="55"/>
      <c r="R1226" s="55"/>
      <c r="S1226" s="55"/>
      <c r="T1226" s="55"/>
      <c r="U1226" s="55"/>
      <c r="V1226" s="55"/>
      <c r="W1226" s="55"/>
      <c r="X1226" s="55"/>
      <c r="Y1226" s="55"/>
      <c r="Z1226" s="55"/>
      <c r="AA1226" s="55"/>
      <c r="AB1226" s="55"/>
      <c r="AC1226" s="55"/>
      <c r="AD1226" s="55"/>
      <c r="AE1226" s="55"/>
      <c r="AF1226" s="55"/>
      <c r="AG1226" s="55"/>
      <c r="AH1226" s="55"/>
      <c r="AI1226" s="55"/>
      <c r="AJ1226" s="55"/>
      <c r="AK1226" s="55"/>
      <c r="AL1226" s="55"/>
      <c r="AM1226" s="55"/>
      <c r="AN1226" s="55"/>
      <c r="AO1226" s="55"/>
      <c r="AP1226" s="55"/>
      <c r="AQ1226" s="55"/>
      <c r="AR1226" s="55"/>
      <c r="AS1226" s="55"/>
      <c r="AT1226" s="55"/>
      <c r="AU1226" s="55"/>
    </row>
    <row r="1227" spans="1:47" ht="15.75" customHeight="1">
      <c r="A1227" s="75"/>
      <c r="B1227" s="66"/>
      <c r="C1227" s="73"/>
      <c r="D1227" s="73"/>
      <c r="E1227" s="65"/>
      <c r="F1227" s="75"/>
      <c r="G1227" s="75"/>
      <c r="H1227" s="75"/>
      <c r="I1227" s="75"/>
      <c r="J1227" s="75"/>
      <c r="K1227" s="75"/>
      <c r="L1227" s="55"/>
      <c r="M1227" s="55"/>
      <c r="N1227" s="55"/>
      <c r="O1227" s="55"/>
      <c r="P1227" s="55"/>
      <c r="Q1227" s="55"/>
      <c r="R1227" s="55"/>
      <c r="S1227" s="55"/>
      <c r="T1227" s="55"/>
      <c r="U1227" s="55"/>
      <c r="V1227" s="55"/>
      <c r="W1227" s="55"/>
      <c r="X1227" s="55"/>
      <c r="Y1227" s="55"/>
      <c r="Z1227" s="55"/>
      <c r="AA1227" s="55"/>
      <c r="AB1227" s="55"/>
      <c r="AC1227" s="55"/>
      <c r="AD1227" s="55"/>
      <c r="AE1227" s="55"/>
      <c r="AF1227" s="55"/>
      <c r="AG1227" s="55"/>
      <c r="AH1227" s="55"/>
      <c r="AI1227" s="55"/>
      <c r="AJ1227" s="55"/>
      <c r="AK1227" s="55"/>
      <c r="AL1227" s="55"/>
      <c r="AM1227" s="55"/>
      <c r="AN1227" s="55"/>
      <c r="AO1227" s="55"/>
      <c r="AP1227" s="55"/>
      <c r="AQ1227" s="55"/>
      <c r="AR1227" s="55"/>
      <c r="AS1227" s="55"/>
      <c r="AT1227" s="55"/>
      <c r="AU1227" s="55"/>
    </row>
    <row r="1228" spans="1:47" ht="15.75" customHeight="1">
      <c r="A1228" s="75"/>
      <c r="B1228" s="66"/>
      <c r="C1228" s="73"/>
      <c r="D1228" s="73"/>
      <c r="E1228" s="65"/>
      <c r="F1228" s="75"/>
      <c r="G1228" s="75"/>
      <c r="H1228" s="75"/>
      <c r="I1228" s="75"/>
      <c r="J1228" s="75"/>
      <c r="K1228" s="75"/>
      <c r="L1228" s="55"/>
      <c r="M1228" s="55"/>
      <c r="N1228" s="55"/>
      <c r="O1228" s="55"/>
      <c r="P1228" s="55"/>
      <c r="Q1228" s="55"/>
      <c r="R1228" s="55"/>
      <c r="S1228" s="55"/>
      <c r="T1228" s="55"/>
      <c r="U1228" s="55"/>
      <c r="V1228" s="55"/>
      <c r="W1228" s="55"/>
      <c r="X1228" s="55"/>
      <c r="Y1228" s="55"/>
      <c r="Z1228" s="55"/>
      <c r="AA1228" s="55"/>
      <c r="AB1228" s="55"/>
      <c r="AC1228" s="55"/>
      <c r="AD1228" s="55"/>
      <c r="AE1228" s="55"/>
      <c r="AF1228" s="55"/>
      <c r="AG1228" s="55"/>
      <c r="AH1228" s="55"/>
      <c r="AI1228" s="55"/>
      <c r="AJ1228" s="55"/>
      <c r="AK1228" s="55"/>
      <c r="AL1228" s="55"/>
      <c r="AM1228" s="55"/>
      <c r="AN1228" s="55"/>
      <c r="AO1228" s="55"/>
      <c r="AP1228" s="55"/>
      <c r="AQ1228" s="55"/>
      <c r="AR1228" s="55"/>
      <c r="AS1228" s="55"/>
      <c r="AT1228" s="55"/>
      <c r="AU1228" s="55"/>
    </row>
    <row r="1229" spans="1:47" ht="15.75" customHeight="1">
      <c r="A1229" s="75"/>
      <c r="B1229" s="66"/>
      <c r="C1229" s="73"/>
      <c r="D1229" s="73"/>
      <c r="E1229" s="65"/>
      <c r="F1229" s="75"/>
      <c r="G1229" s="75"/>
      <c r="H1229" s="75"/>
      <c r="I1229" s="75"/>
      <c r="J1229" s="75"/>
      <c r="K1229" s="75"/>
      <c r="L1229" s="55"/>
      <c r="M1229" s="55"/>
      <c r="N1229" s="55"/>
      <c r="O1229" s="55"/>
      <c r="P1229" s="55"/>
      <c r="Q1229" s="55"/>
      <c r="R1229" s="55"/>
      <c r="S1229" s="55"/>
      <c r="T1229" s="55"/>
      <c r="U1229" s="55"/>
      <c r="V1229" s="55"/>
      <c r="W1229" s="55"/>
      <c r="X1229" s="55"/>
      <c r="Y1229" s="55"/>
      <c r="Z1229" s="55"/>
      <c r="AA1229" s="55"/>
      <c r="AB1229" s="55"/>
      <c r="AC1229" s="55"/>
      <c r="AD1229" s="55"/>
      <c r="AE1229" s="55"/>
      <c r="AF1229" s="55"/>
      <c r="AG1229" s="55"/>
      <c r="AH1229" s="55"/>
      <c r="AI1229" s="55"/>
      <c r="AJ1229" s="55"/>
      <c r="AK1229" s="55"/>
      <c r="AL1229" s="55"/>
      <c r="AM1229" s="55"/>
      <c r="AN1229" s="55"/>
      <c r="AO1229" s="55"/>
      <c r="AP1229" s="55"/>
      <c r="AQ1229" s="55"/>
      <c r="AR1229" s="55"/>
      <c r="AS1229" s="55"/>
      <c r="AT1229" s="55"/>
      <c r="AU1229" s="55"/>
    </row>
    <row r="1230" spans="1:47" ht="15.75" customHeight="1">
      <c r="A1230" s="75"/>
      <c r="B1230" s="66"/>
      <c r="C1230" s="73"/>
      <c r="D1230" s="73"/>
      <c r="E1230" s="65"/>
      <c r="F1230" s="75"/>
      <c r="G1230" s="75"/>
      <c r="H1230" s="75"/>
      <c r="I1230" s="75"/>
      <c r="J1230" s="75"/>
      <c r="K1230" s="75"/>
      <c r="L1230" s="55"/>
      <c r="M1230" s="55"/>
      <c r="N1230" s="55"/>
      <c r="O1230" s="55"/>
      <c r="P1230" s="55"/>
      <c r="Q1230" s="55"/>
      <c r="R1230" s="55"/>
      <c r="S1230" s="55"/>
      <c r="T1230" s="55"/>
      <c r="U1230" s="55"/>
      <c r="V1230" s="55"/>
      <c r="W1230" s="55"/>
      <c r="X1230" s="55"/>
      <c r="Y1230" s="55"/>
      <c r="Z1230" s="55"/>
      <c r="AA1230" s="55"/>
      <c r="AB1230" s="55"/>
      <c r="AC1230" s="55"/>
      <c r="AD1230" s="55"/>
      <c r="AE1230" s="55"/>
      <c r="AF1230" s="55"/>
      <c r="AG1230" s="55"/>
      <c r="AH1230" s="55"/>
      <c r="AI1230" s="55"/>
      <c r="AJ1230" s="55"/>
      <c r="AK1230" s="55"/>
      <c r="AL1230" s="55"/>
      <c r="AM1230" s="55"/>
      <c r="AN1230" s="55"/>
      <c r="AO1230" s="55"/>
      <c r="AP1230" s="55"/>
      <c r="AQ1230" s="55"/>
      <c r="AR1230" s="55"/>
      <c r="AS1230" s="55"/>
      <c r="AT1230" s="55"/>
      <c r="AU1230" s="55"/>
    </row>
    <row r="1231" spans="1:47" ht="15.75" customHeight="1">
      <c r="A1231" s="75"/>
      <c r="B1231" s="66"/>
      <c r="C1231" s="73"/>
      <c r="D1231" s="73"/>
      <c r="E1231" s="65"/>
      <c r="F1231" s="75"/>
      <c r="G1231" s="75"/>
      <c r="H1231" s="75"/>
      <c r="I1231" s="75"/>
      <c r="J1231" s="75"/>
      <c r="K1231" s="75"/>
      <c r="L1231" s="55"/>
      <c r="M1231" s="55"/>
      <c r="N1231" s="55"/>
      <c r="O1231" s="55"/>
      <c r="P1231" s="55"/>
      <c r="Q1231" s="55"/>
      <c r="R1231" s="55"/>
      <c r="S1231" s="55"/>
      <c r="T1231" s="55"/>
      <c r="U1231" s="55"/>
      <c r="V1231" s="55"/>
      <c r="W1231" s="55"/>
      <c r="X1231" s="55"/>
      <c r="Y1231" s="55"/>
      <c r="Z1231" s="55"/>
      <c r="AA1231" s="55"/>
      <c r="AB1231" s="55"/>
      <c r="AC1231" s="55"/>
      <c r="AD1231" s="55"/>
      <c r="AE1231" s="55"/>
      <c r="AF1231" s="55"/>
      <c r="AG1231" s="55"/>
      <c r="AH1231" s="55"/>
      <c r="AI1231" s="55"/>
      <c r="AJ1231" s="55"/>
      <c r="AK1231" s="55"/>
      <c r="AL1231" s="55"/>
      <c r="AM1231" s="55"/>
      <c r="AN1231" s="55"/>
      <c r="AO1231" s="55"/>
      <c r="AP1231" s="55"/>
      <c r="AQ1231" s="55"/>
      <c r="AR1231" s="55"/>
      <c r="AS1231" s="55"/>
      <c r="AT1231" s="55"/>
      <c r="AU1231" s="55"/>
    </row>
    <row r="1232" spans="1:47" ht="15.75" customHeight="1">
      <c r="A1232" s="75"/>
      <c r="B1232" s="66"/>
      <c r="C1232" s="73"/>
      <c r="D1232" s="73"/>
      <c r="E1232" s="65"/>
      <c r="F1232" s="75"/>
      <c r="G1232" s="75"/>
      <c r="H1232" s="75"/>
      <c r="I1232" s="75"/>
      <c r="J1232" s="75"/>
      <c r="K1232" s="75"/>
      <c r="L1232" s="55"/>
      <c r="M1232" s="55"/>
      <c r="N1232" s="55"/>
      <c r="O1232" s="55"/>
      <c r="P1232" s="55"/>
      <c r="Q1232" s="55"/>
      <c r="R1232" s="55"/>
      <c r="S1232" s="55"/>
      <c r="T1232" s="55"/>
      <c r="U1232" s="55"/>
      <c r="V1232" s="55"/>
      <c r="W1232" s="55"/>
      <c r="X1232" s="55"/>
      <c r="Y1232" s="55"/>
      <c r="Z1232" s="55"/>
      <c r="AA1232" s="55"/>
      <c r="AB1232" s="55"/>
      <c r="AC1232" s="55"/>
      <c r="AD1232" s="55"/>
      <c r="AE1232" s="55"/>
      <c r="AF1232" s="55"/>
      <c r="AG1232" s="55"/>
      <c r="AH1232" s="55"/>
      <c r="AI1232" s="55"/>
      <c r="AJ1232" s="55"/>
      <c r="AK1232" s="55"/>
      <c r="AL1232" s="55"/>
      <c r="AM1232" s="55"/>
      <c r="AN1232" s="55"/>
      <c r="AO1232" s="55"/>
      <c r="AP1232" s="55"/>
      <c r="AQ1232" s="55"/>
      <c r="AR1232" s="55"/>
      <c r="AS1232" s="55"/>
      <c r="AT1232" s="55"/>
      <c r="AU1232" s="55"/>
    </row>
    <row r="1233" spans="1:47" ht="15.75" customHeight="1">
      <c r="A1233" s="75"/>
      <c r="B1233" s="66"/>
      <c r="C1233" s="73"/>
      <c r="D1233" s="73"/>
      <c r="E1233" s="65"/>
      <c r="F1233" s="75"/>
      <c r="G1233" s="75"/>
      <c r="H1233" s="75"/>
      <c r="I1233" s="75"/>
      <c r="J1233" s="75"/>
      <c r="K1233" s="75"/>
      <c r="L1233" s="55"/>
      <c r="M1233" s="55"/>
      <c r="N1233" s="55"/>
      <c r="O1233" s="55"/>
      <c r="P1233" s="55"/>
      <c r="Q1233" s="55"/>
      <c r="R1233" s="55"/>
      <c r="S1233" s="55"/>
      <c r="T1233" s="55"/>
      <c r="U1233" s="55"/>
      <c r="V1233" s="55"/>
      <c r="W1233" s="55"/>
      <c r="X1233" s="55"/>
      <c r="Y1233" s="55"/>
      <c r="Z1233" s="55"/>
      <c r="AA1233" s="55"/>
      <c r="AB1233" s="55"/>
      <c r="AC1233" s="55"/>
      <c r="AD1233" s="55"/>
      <c r="AE1233" s="55"/>
      <c r="AF1233" s="55"/>
      <c r="AG1233" s="55"/>
      <c r="AH1233" s="55"/>
      <c r="AI1233" s="55"/>
      <c r="AJ1233" s="55"/>
      <c r="AK1233" s="55"/>
      <c r="AL1233" s="55"/>
      <c r="AM1233" s="55"/>
      <c r="AN1233" s="55"/>
      <c r="AO1233" s="55"/>
      <c r="AP1233" s="55"/>
      <c r="AQ1233" s="55"/>
      <c r="AR1233" s="55"/>
      <c r="AS1233" s="55"/>
      <c r="AT1233" s="55"/>
      <c r="AU1233" s="55"/>
    </row>
    <row r="1234" spans="1:47" ht="15.75" customHeight="1">
      <c r="A1234" s="75"/>
      <c r="B1234" s="66"/>
      <c r="C1234" s="73"/>
      <c r="D1234" s="73"/>
      <c r="E1234" s="65"/>
      <c r="F1234" s="75"/>
      <c r="G1234" s="75"/>
      <c r="H1234" s="75"/>
      <c r="I1234" s="75"/>
      <c r="J1234" s="75"/>
      <c r="K1234" s="75"/>
      <c r="L1234" s="55"/>
      <c r="M1234" s="55"/>
      <c r="N1234" s="55"/>
      <c r="O1234" s="55"/>
      <c r="P1234" s="55"/>
      <c r="Q1234" s="55"/>
      <c r="R1234" s="55"/>
      <c r="S1234" s="55"/>
      <c r="T1234" s="55"/>
      <c r="U1234" s="55"/>
      <c r="V1234" s="55"/>
      <c r="W1234" s="55"/>
      <c r="X1234" s="55"/>
      <c r="Y1234" s="55"/>
      <c r="Z1234" s="55"/>
      <c r="AA1234" s="55"/>
      <c r="AB1234" s="55"/>
      <c r="AC1234" s="55"/>
      <c r="AD1234" s="55"/>
      <c r="AE1234" s="55"/>
      <c r="AF1234" s="55"/>
      <c r="AG1234" s="55"/>
      <c r="AH1234" s="55"/>
      <c r="AI1234" s="55"/>
      <c r="AJ1234" s="55"/>
      <c r="AK1234" s="55"/>
      <c r="AL1234" s="55"/>
      <c r="AM1234" s="55"/>
      <c r="AN1234" s="55"/>
      <c r="AO1234" s="55"/>
      <c r="AP1234" s="55"/>
      <c r="AQ1234" s="55"/>
      <c r="AR1234" s="55"/>
      <c r="AS1234" s="55"/>
      <c r="AT1234" s="55"/>
      <c r="AU1234" s="55"/>
    </row>
    <row r="1235" spans="1:47" ht="15.75" customHeight="1">
      <c r="A1235" s="75"/>
      <c r="B1235" s="66"/>
      <c r="C1235" s="73"/>
      <c r="D1235" s="73"/>
      <c r="E1235" s="65"/>
      <c r="F1235" s="75"/>
      <c r="G1235" s="75"/>
      <c r="H1235" s="75"/>
      <c r="I1235" s="75"/>
      <c r="J1235" s="75"/>
      <c r="K1235" s="75"/>
      <c r="L1235" s="55"/>
      <c r="M1235" s="55"/>
      <c r="N1235" s="55"/>
      <c r="O1235" s="55"/>
      <c r="P1235" s="55"/>
      <c r="Q1235" s="55"/>
      <c r="R1235" s="55"/>
      <c r="S1235" s="55"/>
      <c r="T1235" s="55"/>
      <c r="U1235" s="55"/>
      <c r="V1235" s="55"/>
      <c r="W1235" s="55"/>
      <c r="X1235" s="55"/>
      <c r="Y1235" s="55"/>
      <c r="Z1235" s="55"/>
      <c r="AA1235" s="55"/>
      <c r="AB1235" s="55"/>
      <c r="AC1235" s="55"/>
      <c r="AD1235" s="55"/>
      <c r="AE1235" s="55"/>
      <c r="AF1235" s="55"/>
      <c r="AG1235" s="55"/>
      <c r="AH1235" s="55"/>
      <c r="AI1235" s="55"/>
      <c r="AJ1235" s="55"/>
      <c r="AK1235" s="55"/>
      <c r="AL1235" s="55"/>
      <c r="AM1235" s="55"/>
      <c r="AN1235" s="55"/>
      <c r="AO1235" s="55"/>
      <c r="AP1235" s="55"/>
      <c r="AQ1235" s="55"/>
      <c r="AR1235" s="55"/>
      <c r="AS1235" s="55"/>
      <c r="AT1235" s="55"/>
      <c r="AU1235" s="55"/>
    </row>
    <row r="1236" spans="1:47" ht="15.75" customHeight="1">
      <c r="A1236" s="75"/>
      <c r="B1236" s="66"/>
      <c r="C1236" s="73"/>
      <c r="D1236" s="73"/>
      <c r="E1236" s="65"/>
      <c r="F1236" s="75"/>
      <c r="G1236" s="75"/>
      <c r="H1236" s="75"/>
      <c r="I1236" s="75"/>
      <c r="J1236" s="75"/>
      <c r="K1236" s="75"/>
      <c r="L1236" s="55"/>
      <c r="M1236" s="55"/>
      <c r="N1236" s="55"/>
      <c r="O1236" s="55"/>
      <c r="P1236" s="55"/>
      <c r="Q1236" s="55"/>
      <c r="R1236" s="55"/>
      <c r="S1236" s="55"/>
      <c r="T1236" s="55"/>
      <c r="U1236" s="55"/>
      <c r="V1236" s="55"/>
      <c r="W1236" s="55"/>
      <c r="X1236" s="55"/>
      <c r="Y1236" s="55"/>
      <c r="Z1236" s="55"/>
      <c r="AA1236" s="55"/>
      <c r="AB1236" s="55"/>
      <c r="AC1236" s="55"/>
      <c r="AD1236" s="55"/>
      <c r="AE1236" s="55"/>
      <c r="AF1236" s="55"/>
      <c r="AG1236" s="55"/>
      <c r="AH1236" s="55"/>
      <c r="AI1236" s="55"/>
      <c r="AJ1236" s="55"/>
      <c r="AK1236" s="55"/>
      <c r="AL1236" s="55"/>
      <c r="AM1236" s="55"/>
      <c r="AN1236" s="55"/>
      <c r="AO1236" s="55"/>
      <c r="AP1236" s="55"/>
      <c r="AQ1236" s="55"/>
      <c r="AR1236" s="55"/>
      <c r="AS1236" s="55"/>
      <c r="AT1236" s="55"/>
      <c r="AU1236" s="55"/>
    </row>
    <row r="1237" spans="1:47" ht="15.75" customHeight="1">
      <c r="A1237" s="75"/>
      <c r="B1237" s="66"/>
      <c r="C1237" s="73"/>
      <c r="D1237" s="73"/>
      <c r="E1237" s="65"/>
      <c r="F1237" s="75"/>
      <c r="G1237" s="75"/>
      <c r="H1237" s="75"/>
      <c r="I1237" s="75"/>
      <c r="J1237" s="75"/>
      <c r="K1237" s="75"/>
      <c r="L1237" s="55"/>
      <c r="M1237" s="55"/>
      <c r="N1237" s="55"/>
      <c r="O1237" s="55"/>
      <c r="P1237" s="55"/>
      <c r="Q1237" s="55"/>
      <c r="R1237" s="55"/>
      <c r="S1237" s="55"/>
      <c r="T1237" s="55"/>
      <c r="U1237" s="55"/>
      <c r="V1237" s="55"/>
      <c r="W1237" s="55"/>
      <c r="X1237" s="55"/>
      <c r="Y1237" s="55"/>
      <c r="Z1237" s="55"/>
      <c r="AA1237" s="55"/>
      <c r="AB1237" s="55"/>
      <c r="AC1237" s="55"/>
      <c r="AD1237" s="55"/>
      <c r="AE1237" s="55"/>
      <c r="AF1237" s="55"/>
      <c r="AG1237" s="55"/>
      <c r="AH1237" s="55"/>
      <c r="AI1237" s="55"/>
      <c r="AJ1237" s="55"/>
      <c r="AK1237" s="55"/>
      <c r="AL1237" s="55"/>
      <c r="AM1237" s="55"/>
      <c r="AN1237" s="55"/>
      <c r="AO1237" s="55"/>
      <c r="AP1237" s="55"/>
      <c r="AQ1237" s="55"/>
      <c r="AR1237" s="55"/>
      <c r="AS1237" s="55"/>
      <c r="AT1237" s="55"/>
      <c r="AU1237" s="55"/>
    </row>
    <row r="1238" spans="1:47" ht="15.75" customHeight="1">
      <c r="A1238" s="75"/>
      <c r="B1238" s="66"/>
      <c r="C1238" s="73"/>
      <c r="D1238" s="73"/>
      <c r="E1238" s="65"/>
      <c r="F1238" s="75"/>
      <c r="G1238" s="75"/>
      <c r="H1238" s="75"/>
      <c r="I1238" s="75"/>
      <c r="J1238" s="75"/>
      <c r="K1238" s="75"/>
      <c r="L1238" s="55"/>
      <c r="M1238" s="55"/>
      <c r="N1238" s="55"/>
      <c r="O1238" s="55"/>
      <c r="P1238" s="55"/>
      <c r="Q1238" s="55"/>
      <c r="R1238" s="55"/>
      <c r="S1238" s="55"/>
      <c r="T1238" s="55"/>
      <c r="U1238" s="55"/>
      <c r="V1238" s="55"/>
      <c r="W1238" s="55"/>
      <c r="X1238" s="55"/>
      <c r="Y1238" s="55"/>
      <c r="Z1238" s="55"/>
      <c r="AA1238" s="55"/>
      <c r="AB1238" s="55"/>
      <c r="AC1238" s="55"/>
      <c r="AD1238" s="55"/>
      <c r="AE1238" s="55"/>
      <c r="AF1238" s="55"/>
      <c r="AG1238" s="55"/>
      <c r="AH1238" s="55"/>
      <c r="AI1238" s="55"/>
      <c r="AJ1238" s="55"/>
      <c r="AK1238" s="55"/>
      <c r="AL1238" s="55"/>
      <c r="AM1238" s="55"/>
      <c r="AN1238" s="55"/>
      <c r="AO1238" s="55"/>
      <c r="AP1238" s="55"/>
      <c r="AQ1238" s="55"/>
      <c r="AR1238" s="55"/>
      <c r="AS1238" s="55"/>
      <c r="AT1238" s="55"/>
      <c r="AU1238" s="55"/>
    </row>
    <row r="1239" spans="1:47" ht="15.75" customHeight="1">
      <c r="A1239" s="75"/>
      <c r="B1239" s="66"/>
      <c r="C1239" s="73"/>
      <c r="D1239" s="73"/>
      <c r="E1239" s="65"/>
      <c r="F1239" s="75"/>
      <c r="G1239" s="75"/>
      <c r="H1239" s="75"/>
      <c r="I1239" s="75"/>
      <c r="J1239" s="75"/>
      <c r="K1239" s="75"/>
      <c r="L1239" s="55"/>
      <c r="M1239" s="55"/>
      <c r="N1239" s="55"/>
      <c r="O1239" s="55"/>
      <c r="P1239" s="55"/>
      <c r="Q1239" s="55"/>
      <c r="R1239" s="55"/>
      <c r="S1239" s="55"/>
      <c r="T1239" s="55"/>
      <c r="U1239" s="55"/>
      <c r="V1239" s="55"/>
      <c r="W1239" s="55"/>
      <c r="X1239" s="55"/>
      <c r="Y1239" s="55"/>
      <c r="Z1239" s="55"/>
      <c r="AA1239" s="55"/>
      <c r="AB1239" s="55"/>
      <c r="AC1239" s="55"/>
      <c r="AD1239" s="55"/>
      <c r="AE1239" s="55"/>
      <c r="AF1239" s="55"/>
      <c r="AG1239" s="55"/>
      <c r="AH1239" s="55"/>
      <c r="AI1239" s="55"/>
      <c r="AJ1239" s="55"/>
      <c r="AK1239" s="55"/>
      <c r="AL1239" s="55"/>
      <c r="AM1239" s="55"/>
      <c r="AN1239" s="55"/>
      <c r="AO1239" s="55"/>
      <c r="AP1239" s="55"/>
      <c r="AQ1239" s="55"/>
      <c r="AR1239" s="55"/>
      <c r="AS1239" s="55"/>
      <c r="AT1239" s="55"/>
      <c r="AU1239" s="55"/>
    </row>
    <row r="1240" spans="1:47" ht="15.75" customHeight="1">
      <c r="A1240" s="75"/>
      <c r="B1240" s="66"/>
      <c r="C1240" s="73"/>
      <c r="D1240" s="73"/>
      <c r="E1240" s="65"/>
      <c r="F1240" s="75"/>
      <c r="G1240" s="75"/>
      <c r="H1240" s="75"/>
      <c r="I1240" s="75"/>
      <c r="J1240" s="75"/>
      <c r="K1240" s="75"/>
      <c r="L1240" s="55"/>
      <c r="M1240" s="55"/>
      <c r="N1240" s="55"/>
      <c r="O1240" s="55"/>
      <c r="P1240" s="55"/>
      <c r="Q1240" s="55"/>
      <c r="R1240" s="55"/>
      <c r="S1240" s="55"/>
      <c r="T1240" s="55"/>
      <c r="U1240" s="55"/>
      <c r="V1240" s="55"/>
      <c r="W1240" s="55"/>
      <c r="X1240" s="55"/>
      <c r="Y1240" s="55"/>
      <c r="Z1240" s="55"/>
      <c r="AA1240" s="55"/>
      <c r="AB1240" s="55"/>
      <c r="AC1240" s="55"/>
      <c r="AD1240" s="55"/>
      <c r="AE1240" s="55"/>
      <c r="AF1240" s="55"/>
      <c r="AG1240" s="55"/>
      <c r="AH1240" s="55"/>
      <c r="AI1240" s="55"/>
      <c r="AJ1240" s="55"/>
      <c r="AK1240" s="55"/>
      <c r="AL1240" s="55"/>
      <c r="AM1240" s="55"/>
      <c r="AN1240" s="55"/>
      <c r="AO1240" s="55"/>
      <c r="AP1240" s="55"/>
      <c r="AQ1240" s="55"/>
      <c r="AR1240" s="55"/>
      <c r="AS1240" s="55"/>
      <c r="AT1240" s="55"/>
      <c r="AU1240" s="55"/>
    </row>
    <row r="1241" spans="1:47" ht="15.75" customHeight="1">
      <c r="A1241" s="75"/>
      <c r="B1241" s="66"/>
      <c r="C1241" s="73"/>
      <c r="D1241" s="73"/>
      <c r="E1241" s="65"/>
      <c r="F1241" s="75"/>
      <c r="G1241" s="75"/>
      <c r="H1241" s="75"/>
      <c r="I1241" s="75"/>
      <c r="J1241" s="75"/>
      <c r="K1241" s="75"/>
      <c r="L1241" s="55"/>
      <c r="M1241" s="55"/>
      <c r="N1241" s="55"/>
      <c r="O1241" s="55"/>
      <c r="P1241" s="55"/>
      <c r="Q1241" s="55"/>
      <c r="R1241" s="55"/>
      <c r="S1241" s="55"/>
      <c r="T1241" s="55"/>
      <c r="U1241" s="55"/>
      <c r="V1241" s="55"/>
      <c r="W1241" s="55"/>
      <c r="X1241" s="55"/>
      <c r="Y1241" s="55"/>
      <c r="Z1241" s="55"/>
      <c r="AA1241" s="55"/>
      <c r="AB1241" s="55"/>
      <c r="AC1241" s="55"/>
      <c r="AD1241" s="55"/>
      <c r="AE1241" s="55"/>
      <c r="AF1241" s="55"/>
      <c r="AG1241" s="55"/>
      <c r="AH1241" s="55"/>
      <c r="AI1241" s="55"/>
      <c r="AJ1241" s="55"/>
      <c r="AK1241" s="55"/>
      <c r="AL1241" s="55"/>
      <c r="AM1241" s="55"/>
      <c r="AN1241" s="55"/>
      <c r="AO1241" s="55"/>
      <c r="AP1241" s="55"/>
      <c r="AQ1241" s="55"/>
      <c r="AR1241" s="55"/>
      <c r="AS1241" s="55"/>
      <c r="AT1241" s="55"/>
      <c r="AU1241" s="55"/>
    </row>
    <row r="1242" spans="1:47" ht="15.75" customHeight="1">
      <c r="A1242" s="75"/>
      <c r="B1242" s="66"/>
      <c r="C1242" s="73"/>
      <c r="D1242" s="73"/>
      <c r="E1242" s="65"/>
      <c r="F1242" s="75"/>
      <c r="G1242" s="75"/>
      <c r="H1242" s="75"/>
      <c r="I1242" s="75"/>
      <c r="J1242" s="75"/>
      <c r="K1242" s="75"/>
      <c r="L1242" s="55"/>
      <c r="M1242" s="55"/>
      <c r="N1242" s="55"/>
      <c r="O1242" s="55"/>
      <c r="P1242" s="55"/>
      <c r="Q1242" s="55"/>
      <c r="R1242" s="55"/>
      <c r="S1242" s="55"/>
      <c r="T1242" s="55"/>
      <c r="U1242" s="55"/>
      <c r="V1242" s="55"/>
      <c r="W1242" s="55"/>
      <c r="X1242" s="55"/>
      <c r="Y1242" s="55"/>
      <c r="Z1242" s="55"/>
      <c r="AA1242" s="55"/>
      <c r="AB1242" s="55"/>
      <c r="AC1242" s="55"/>
      <c r="AD1242" s="55"/>
      <c r="AE1242" s="55"/>
      <c r="AF1242" s="55"/>
      <c r="AG1242" s="55"/>
      <c r="AH1242" s="55"/>
      <c r="AI1242" s="55"/>
      <c r="AJ1242" s="55"/>
      <c r="AK1242" s="55"/>
      <c r="AL1242" s="55"/>
      <c r="AM1242" s="55"/>
      <c r="AN1242" s="55"/>
      <c r="AO1242" s="55"/>
      <c r="AP1242" s="55"/>
      <c r="AQ1242" s="55"/>
      <c r="AR1242" s="55"/>
      <c r="AS1242" s="55"/>
      <c r="AT1242" s="55"/>
      <c r="AU1242" s="55"/>
    </row>
    <row r="1243" spans="1:47" ht="15.75" customHeight="1">
      <c r="A1243" s="75"/>
      <c r="B1243" s="66"/>
      <c r="C1243" s="73"/>
      <c r="D1243" s="73"/>
      <c r="E1243" s="65"/>
      <c r="F1243" s="75"/>
      <c r="G1243" s="75"/>
      <c r="H1243" s="75"/>
      <c r="I1243" s="75"/>
      <c r="J1243" s="75"/>
      <c r="K1243" s="75"/>
      <c r="L1243" s="55"/>
      <c r="M1243" s="55"/>
      <c r="N1243" s="55"/>
      <c r="O1243" s="55"/>
      <c r="P1243" s="55"/>
      <c r="Q1243" s="55"/>
      <c r="R1243" s="55"/>
      <c r="S1243" s="55"/>
      <c r="T1243" s="55"/>
      <c r="U1243" s="55"/>
      <c r="V1243" s="55"/>
      <c r="W1243" s="55"/>
      <c r="X1243" s="55"/>
      <c r="Y1243" s="55"/>
      <c r="Z1243" s="55"/>
      <c r="AA1243" s="55"/>
      <c r="AB1243" s="55"/>
      <c r="AC1243" s="55"/>
      <c r="AD1243" s="55"/>
      <c r="AE1243" s="55"/>
      <c r="AF1243" s="55"/>
      <c r="AG1243" s="55"/>
      <c r="AH1243" s="55"/>
      <c r="AI1243" s="55"/>
      <c r="AJ1243" s="55"/>
      <c r="AK1243" s="55"/>
      <c r="AL1243" s="55"/>
      <c r="AM1243" s="55"/>
      <c r="AN1243" s="55"/>
      <c r="AO1243" s="55"/>
      <c r="AP1243" s="55"/>
      <c r="AQ1243" s="55"/>
      <c r="AR1243" s="55"/>
      <c r="AS1243" s="55"/>
      <c r="AT1243" s="55"/>
      <c r="AU1243" s="55"/>
    </row>
    <row r="1244" spans="1:47" ht="15.75" customHeight="1">
      <c r="A1244" s="75"/>
      <c r="B1244" s="66"/>
      <c r="C1244" s="73"/>
      <c r="D1244" s="73"/>
      <c r="E1244" s="65"/>
      <c r="F1244" s="75"/>
      <c r="G1244" s="75"/>
      <c r="H1244" s="75"/>
      <c r="I1244" s="75"/>
      <c r="J1244" s="75"/>
      <c r="K1244" s="75"/>
      <c r="L1244" s="55"/>
      <c r="M1244" s="55"/>
      <c r="N1244" s="55"/>
      <c r="O1244" s="55"/>
      <c r="P1244" s="55"/>
      <c r="Q1244" s="55"/>
      <c r="R1244" s="55"/>
      <c r="S1244" s="55"/>
      <c r="T1244" s="55"/>
      <c r="U1244" s="55"/>
      <c r="V1244" s="55"/>
      <c r="W1244" s="55"/>
      <c r="X1244" s="55"/>
      <c r="Y1244" s="55"/>
      <c r="Z1244" s="55"/>
      <c r="AA1244" s="55"/>
      <c r="AB1244" s="55"/>
      <c r="AC1244" s="55"/>
      <c r="AD1244" s="55"/>
      <c r="AE1244" s="55"/>
      <c r="AF1244" s="55"/>
      <c r="AG1244" s="55"/>
      <c r="AH1244" s="55"/>
      <c r="AI1244" s="55"/>
      <c r="AJ1244" s="55"/>
      <c r="AK1244" s="55"/>
      <c r="AL1244" s="55"/>
      <c r="AM1244" s="55"/>
      <c r="AN1244" s="55"/>
      <c r="AO1244" s="55"/>
      <c r="AP1244" s="55"/>
      <c r="AQ1244" s="55"/>
      <c r="AR1244" s="55"/>
      <c r="AS1244" s="55"/>
      <c r="AT1244" s="55"/>
      <c r="AU1244" s="55"/>
    </row>
    <row r="1245" spans="1:47" ht="15.75" customHeight="1">
      <c r="A1245" s="75"/>
      <c r="B1245" s="66"/>
      <c r="C1245" s="73"/>
      <c r="D1245" s="73"/>
      <c r="E1245" s="65"/>
      <c r="F1245" s="75"/>
      <c r="G1245" s="75"/>
      <c r="H1245" s="75"/>
      <c r="I1245" s="75"/>
      <c r="J1245" s="75"/>
      <c r="K1245" s="75"/>
      <c r="L1245" s="55"/>
      <c r="M1245" s="55"/>
      <c r="N1245" s="55"/>
      <c r="O1245" s="55"/>
      <c r="P1245" s="55"/>
      <c r="Q1245" s="55"/>
      <c r="R1245" s="55"/>
      <c r="S1245" s="55"/>
      <c r="T1245" s="55"/>
      <c r="U1245" s="55"/>
      <c r="V1245" s="55"/>
      <c r="W1245" s="55"/>
      <c r="X1245" s="55"/>
      <c r="Y1245" s="55"/>
      <c r="Z1245" s="55"/>
      <c r="AA1245" s="55"/>
      <c r="AB1245" s="55"/>
      <c r="AC1245" s="55"/>
      <c r="AD1245" s="55"/>
      <c r="AE1245" s="55"/>
      <c r="AF1245" s="55"/>
      <c r="AG1245" s="55"/>
      <c r="AH1245" s="55"/>
      <c r="AI1245" s="55"/>
      <c r="AJ1245" s="55"/>
      <c r="AK1245" s="55"/>
      <c r="AL1245" s="55"/>
      <c r="AM1245" s="55"/>
      <c r="AN1245" s="55"/>
      <c r="AO1245" s="55"/>
      <c r="AP1245" s="55"/>
      <c r="AQ1245" s="55"/>
      <c r="AR1245" s="55"/>
      <c r="AS1245" s="55"/>
      <c r="AT1245" s="55"/>
      <c r="AU1245" s="55"/>
    </row>
    <row r="1246" spans="1:47" ht="15.75" customHeight="1">
      <c r="A1246" s="75"/>
      <c r="B1246" s="66"/>
      <c r="C1246" s="73"/>
      <c r="D1246" s="73"/>
      <c r="E1246" s="65"/>
      <c r="F1246" s="75"/>
      <c r="G1246" s="75"/>
      <c r="H1246" s="75"/>
      <c r="I1246" s="75"/>
      <c r="J1246" s="75"/>
      <c r="K1246" s="75"/>
      <c r="L1246" s="55"/>
      <c r="M1246" s="55"/>
      <c r="N1246" s="55"/>
      <c r="O1246" s="55"/>
      <c r="P1246" s="55"/>
      <c r="Q1246" s="55"/>
      <c r="R1246" s="55"/>
      <c r="S1246" s="55"/>
      <c r="T1246" s="55"/>
      <c r="U1246" s="55"/>
      <c r="V1246" s="55"/>
      <c r="W1246" s="55"/>
      <c r="X1246" s="55"/>
      <c r="Y1246" s="55"/>
      <c r="Z1246" s="55"/>
      <c r="AA1246" s="55"/>
      <c r="AB1246" s="55"/>
      <c r="AC1246" s="55"/>
      <c r="AD1246" s="55"/>
      <c r="AE1246" s="55"/>
      <c r="AF1246" s="55"/>
      <c r="AG1246" s="55"/>
      <c r="AH1246" s="55"/>
      <c r="AI1246" s="55"/>
      <c r="AJ1246" s="55"/>
      <c r="AK1246" s="55"/>
      <c r="AL1246" s="55"/>
      <c r="AM1246" s="55"/>
      <c r="AN1246" s="55"/>
      <c r="AO1246" s="55"/>
      <c r="AP1246" s="55"/>
      <c r="AQ1246" s="55"/>
      <c r="AR1246" s="55"/>
      <c r="AS1246" s="55"/>
      <c r="AT1246" s="55"/>
      <c r="AU1246" s="55"/>
    </row>
    <row r="1247" spans="1:47" ht="15.75" customHeight="1">
      <c r="A1247" s="75"/>
      <c r="B1247" s="66"/>
      <c r="C1247" s="73"/>
      <c r="D1247" s="73"/>
      <c r="E1247" s="65"/>
      <c r="F1247" s="75"/>
      <c r="G1247" s="75"/>
      <c r="H1247" s="75"/>
      <c r="I1247" s="75"/>
      <c r="J1247" s="75"/>
      <c r="K1247" s="75"/>
      <c r="L1247" s="55"/>
      <c r="M1247" s="55"/>
      <c r="N1247" s="55"/>
      <c r="O1247" s="55"/>
      <c r="P1247" s="55"/>
      <c r="Q1247" s="55"/>
      <c r="R1247" s="55"/>
      <c r="S1247" s="55"/>
      <c r="T1247" s="55"/>
      <c r="U1247" s="55"/>
      <c r="V1247" s="55"/>
      <c r="W1247" s="55"/>
      <c r="X1247" s="55"/>
      <c r="Y1247" s="55"/>
      <c r="Z1247" s="55"/>
      <c r="AA1247" s="55"/>
      <c r="AB1247" s="55"/>
      <c r="AC1247" s="55"/>
      <c r="AD1247" s="55"/>
      <c r="AE1247" s="55"/>
      <c r="AF1247" s="55"/>
      <c r="AG1247" s="55"/>
      <c r="AH1247" s="55"/>
      <c r="AI1247" s="55"/>
      <c r="AJ1247" s="55"/>
      <c r="AK1247" s="55"/>
      <c r="AL1247" s="55"/>
      <c r="AM1247" s="55"/>
      <c r="AN1247" s="55"/>
      <c r="AO1247" s="55"/>
      <c r="AP1247" s="55"/>
      <c r="AQ1247" s="55"/>
      <c r="AR1247" s="55"/>
      <c r="AS1247" s="55"/>
      <c r="AT1247" s="55"/>
      <c r="AU1247" s="55"/>
    </row>
    <row r="1248" spans="1:47" ht="15.75" customHeight="1">
      <c r="A1248" s="75"/>
      <c r="B1248" s="66"/>
      <c r="C1248" s="73"/>
      <c r="D1248" s="73"/>
      <c r="E1248" s="65"/>
      <c r="F1248" s="75"/>
      <c r="G1248" s="75"/>
      <c r="H1248" s="75"/>
      <c r="I1248" s="75"/>
      <c r="J1248" s="75"/>
      <c r="K1248" s="75"/>
      <c r="L1248" s="55"/>
      <c r="M1248" s="55"/>
      <c r="N1248" s="55"/>
      <c r="O1248" s="55"/>
      <c r="P1248" s="55"/>
      <c r="Q1248" s="55"/>
      <c r="R1248" s="55"/>
      <c r="S1248" s="55"/>
      <c r="T1248" s="55"/>
      <c r="U1248" s="55"/>
      <c r="V1248" s="55"/>
      <c r="W1248" s="55"/>
      <c r="X1248" s="55"/>
      <c r="Y1248" s="55"/>
      <c r="Z1248" s="55"/>
      <c r="AA1248" s="55"/>
      <c r="AB1248" s="55"/>
      <c r="AC1248" s="55"/>
      <c r="AD1248" s="55"/>
      <c r="AE1248" s="55"/>
      <c r="AF1248" s="55"/>
      <c r="AG1248" s="55"/>
      <c r="AH1248" s="55"/>
      <c r="AI1248" s="55"/>
      <c r="AJ1248" s="55"/>
      <c r="AK1248" s="55"/>
      <c r="AL1248" s="55"/>
      <c r="AM1248" s="55"/>
      <c r="AN1248" s="55"/>
      <c r="AO1248" s="55"/>
      <c r="AP1248" s="55"/>
      <c r="AQ1248" s="55"/>
      <c r="AR1248" s="55"/>
      <c r="AS1248" s="55"/>
      <c r="AT1248" s="55"/>
      <c r="AU1248" s="55"/>
    </row>
    <row r="1249" spans="1:47" ht="15.75" customHeight="1">
      <c r="A1249" s="75"/>
      <c r="B1249" s="66"/>
      <c r="C1249" s="73"/>
      <c r="D1249" s="73"/>
      <c r="E1249" s="65"/>
      <c r="F1249" s="75"/>
      <c r="G1249" s="75"/>
      <c r="H1249" s="75"/>
      <c r="I1249" s="75"/>
      <c r="J1249" s="75"/>
      <c r="K1249" s="75"/>
      <c r="L1249" s="55"/>
      <c r="M1249" s="55"/>
      <c r="N1249" s="55"/>
      <c r="O1249" s="55"/>
      <c r="P1249" s="55"/>
      <c r="Q1249" s="55"/>
      <c r="R1249" s="55"/>
      <c r="S1249" s="55"/>
      <c r="T1249" s="55"/>
      <c r="U1249" s="55"/>
      <c r="V1249" s="55"/>
      <c r="W1249" s="55"/>
      <c r="X1249" s="55"/>
      <c r="Y1249" s="55"/>
      <c r="Z1249" s="55"/>
      <c r="AA1249" s="55"/>
      <c r="AB1249" s="55"/>
      <c r="AC1249" s="55"/>
      <c r="AD1249" s="55"/>
      <c r="AE1249" s="55"/>
      <c r="AF1249" s="55"/>
      <c r="AG1249" s="55"/>
      <c r="AH1249" s="55"/>
      <c r="AI1249" s="55"/>
      <c r="AJ1249" s="55"/>
      <c r="AK1249" s="55"/>
      <c r="AL1249" s="55"/>
      <c r="AM1249" s="55"/>
      <c r="AN1249" s="55"/>
      <c r="AO1249" s="55"/>
      <c r="AP1249" s="55"/>
      <c r="AQ1249" s="55"/>
      <c r="AR1249" s="55"/>
      <c r="AS1249" s="55"/>
      <c r="AT1249" s="55"/>
      <c r="AU1249" s="55"/>
    </row>
    <row r="1250" spans="1:47" ht="15.75" customHeight="1">
      <c r="A1250" s="75"/>
      <c r="B1250" s="66"/>
      <c r="C1250" s="73"/>
      <c r="D1250" s="73"/>
      <c r="E1250" s="65"/>
      <c r="F1250" s="75"/>
      <c r="G1250" s="75"/>
      <c r="H1250" s="75"/>
      <c r="I1250" s="75"/>
      <c r="J1250" s="75"/>
      <c r="K1250" s="75"/>
      <c r="L1250" s="55"/>
      <c r="M1250" s="55"/>
      <c r="N1250" s="55"/>
      <c r="O1250" s="55"/>
      <c r="P1250" s="55"/>
      <c r="Q1250" s="55"/>
      <c r="R1250" s="55"/>
      <c r="S1250" s="55"/>
      <c r="T1250" s="55"/>
      <c r="U1250" s="55"/>
      <c r="V1250" s="55"/>
      <c r="W1250" s="55"/>
      <c r="X1250" s="55"/>
      <c r="Y1250" s="55"/>
      <c r="Z1250" s="55"/>
      <c r="AA1250" s="55"/>
      <c r="AB1250" s="55"/>
      <c r="AC1250" s="55"/>
      <c r="AD1250" s="55"/>
      <c r="AE1250" s="55"/>
      <c r="AF1250" s="55"/>
      <c r="AG1250" s="55"/>
      <c r="AH1250" s="55"/>
      <c r="AI1250" s="55"/>
      <c r="AJ1250" s="55"/>
      <c r="AK1250" s="55"/>
      <c r="AL1250" s="55"/>
      <c r="AM1250" s="55"/>
      <c r="AN1250" s="55"/>
      <c r="AO1250" s="55"/>
      <c r="AP1250" s="55"/>
      <c r="AQ1250" s="55"/>
      <c r="AR1250" s="55"/>
      <c r="AS1250" s="55"/>
      <c r="AT1250" s="55"/>
      <c r="AU1250" s="55"/>
    </row>
    <row r="1251" spans="1:47" ht="15.75" customHeight="1">
      <c r="A1251" s="75"/>
      <c r="B1251" s="66"/>
      <c r="C1251" s="73"/>
      <c r="D1251" s="73"/>
      <c r="E1251" s="65"/>
      <c r="F1251" s="75"/>
      <c r="G1251" s="75"/>
      <c r="H1251" s="75"/>
      <c r="I1251" s="75"/>
      <c r="J1251" s="75"/>
      <c r="K1251" s="75"/>
      <c r="L1251" s="55"/>
      <c r="M1251" s="55"/>
      <c r="N1251" s="55"/>
      <c r="O1251" s="55"/>
      <c r="P1251" s="55"/>
      <c r="Q1251" s="55"/>
      <c r="R1251" s="55"/>
      <c r="S1251" s="55"/>
      <c r="T1251" s="55"/>
      <c r="U1251" s="55"/>
      <c r="V1251" s="55"/>
      <c r="W1251" s="55"/>
      <c r="X1251" s="55"/>
      <c r="Y1251" s="55"/>
      <c r="Z1251" s="55"/>
      <c r="AA1251" s="55"/>
      <c r="AB1251" s="55"/>
      <c r="AC1251" s="55"/>
      <c r="AD1251" s="55"/>
      <c r="AE1251" s="55"/>
      <c r="AF1251" s="55"/>
      <c r="AG1251" s="55"/>
      <c r="AH1251" s="55"/>
      <c r="AI1251" s="55"/>
      <c r="AJ1251" s="55"/>
      <c r="AK1251" s="55"/>
      <c r="AL1251" s="55"/>
      <c r="AM1251" s="55"/>
      <c r="AN1251" s="55"/>
      <c r="AO1251" s="55"/>
      <c r="AP1251" s="55"/>
      <c r="AQ1251" s="55"/>
      <c r="AR1251" s="55"/>
      <c r="AS1251" s="55"/>
      <c r="AT1251" s="55"/>
      <c r="AU1251" s="55"/>
    </row>
    <row r="1252" spans="1:47" ht="15.75" customHeight="1">
      <c r="A1252" s="75"/>
      <c r="B1252" s="66"/>
      <c r="C1252" s="73"/>
      <c r="D1252" s="73"/>
      <c r="E1252" s="65"/>
      <c r="F1252" s="75"/>
      <c r="G1252" s="75"/>
      <c r="H1252" s="75"/>
      <c r="I1252" s="75"/>
      <c r="J1252" s="75"/>
      <c r="K1252" s="75"/>
      <c r="L1252" s="55"/>
      <c r="M1252" s="55"/>
      <c r="N1252" s="55"/>
      <c r="O1252" s="55"/>
      <c r="P1252" s="55"/>
      <c r="Q1252" s="55"/>
      <c r="R1252" s="55"/>
      <c r="S1252" s="55"/>
      <c r="T1252" s="55"/>
      <c r="U1252" s="55"/>
      <c r="V1252" s="55"/>
      <c r="W1252" s="55"/>
      <c r="X1252" s="55"/>
      <c r="Y1252" s="55"/>
      <c r="Z1252" s="55"/>
      <c r="AA1252" s="55"/>
      <c r="AB1252" s="55"/>
      <c r="AC1252" s="55"/>
      <c r="AD1252" s="55"/>
      <c r="AE1252" s="55"/>
      <c r="AF1252" s="55"/>
      <c r="AG1252" s="55"/>
      <c r="AH1252" s="55"/>
      <c r="AI1252" s="55"/>
      <c r="AJ1252" s="55"/>
      <c r="AK1252" s="55"/>
      <c r="AL1252" s="55"/>
      <c r="AM1252" s="55"/>
      <c r="AN1252" s="55"/>
      <c r="AO1252" s="55"/>
      <c r="AP1252" s="55"/>
      <c r="AQ1252" s="55"/>
      <c r="AR1252" s="55"/>
      <c r="AS1252" s="55"/>
      <c r="AT1252" s="55"/>
      <c r="AU1252" s="55"/>
    </row>
    <row r="1253" spans="1:47" ht="15.75" customHeight="1">
      <c r="A1253" s="75"/>
      <c r="B1253" s="66"/>
      <c r="C1253" s="73"/>
      <c r="D1253" s="73"/>
      <c r="E1253" s="65"/>
      <c r="F1253" s="75"/>
      <c r="G1253" s="75"/>
      <c r="H1253" s="75"/>
      <c r="I1253" s="75"/>
      <c r="J1253" s="75"/>
      <c r="K1253" s="75"/>
      <c r="L1253" s="55"/>
      <c r="M1253" s="55"/>
      <c r="N1253" s="55"/>
      <c r="O1253" s="55"/>
      <c r="P1253" s="55"/>
      <c r="Q1253" s="55"/>
      <c r="R1253" s="55"/>
      <c r="S1253" s="55"/>
      <c r="T1253" s="55"/>
      <c r="U1253" s="55"/>
      <c r="V1253" s="55"/>
      <c r="W1253" s="55"/>
      <c r="X1253" s="55"/>
      <c r="Y1253" s="55"/>
      <c r="Z1253" s="55"/>
      <c r="AA1253" s="55"/>
      <c r="AB1253" s="55"/>
      <c r="AC1253" s="55"/>
      <c r="AD1253" s="55"/>
      <c r="AE1253" s="55"/>
      <c r="AF1253" s="55"/>
      <c r="AG1253" s="55"/>
      <c r="AH1253" s="55"/>
      <c r="AI1253" s="55"/>
      <c r="AJ1253" s="55"/>
      <c r="AK1253" s="55"/>
      <c r="AL1253" s="55"/>
      <c r="AM1253" s="55"/>
      <c r="AN1253" s="55"/>
      <c r="AO1253" s="55"/>
      <c r="AP1253" s="55"/>
      <c r="AQ1253" s="55"/>
      <c r="AR1253" s="55"/>
      <c r="AS1253" s="55"/>
      <c r="AT1253" s="55"/>
      <c r="AU1253" s="55"/>
    </row>
    <row r="1254" spans="1:47" ht="15.75" customHeight="1">
      <c r="A1254" s="75"/>
      <c r="B1254" s="66"/>
      <c r="C1254" s="73"/>
      <c r="D1254" s="73"/>
      <c r="E1254" s="65"/>
      <c r="F1254" s="75"/>
      <c r="G1254" s="75"/>
      <c r="H1254" s="75"/>
      <c r="I1254" s="75"/>
      <c r="J1254" s="75"/>
      <c r="K1254" s="75"/>
      <c r="L1254" s="55"/>
      <c r="M1254" s="55"/>
      <c r="N1254" s="55"/>
      <c r="O1254" s="55"/>
      <c r="P1254" s="55"/>
      <c r="Q1254" s="55"/>
      <c r="R1254" s="55"/>
      <c r="S1254" s="55"/>
      <c r="T1254" s="55"/>
      <c r="U1254" s="55"/>
      <c r="V1254" s="55"/>
      <c r="W1254" s="55"/>
      <c r="X1254" s="55"/>
      <c r="Y1254" s="55"/>
      <c r="Z1254" s="55"/>
      <c r="AA1254" s="55"/>
      <c r="AB1254" s="55"/>
      <c r="AC1254" s="55"/>
      <c r="AD1254" s="55"/>
      <c r="AE1254" s="55"/>
      <c r="AF1254" s="55"/>
      <c r="AG1254" s="55"/>
      <c r="AH1254" s="55"/>
      <c r="AI1254" s="55"/>
      <c r="AJ1254" s="55"/>
      <c r="AK1254" s="55"/>
      <c r="AL1254" s="55"/>
      <c r="AM1254" s="55"/>
      <c r="AN1254" s="55"/>
      <c r="AO1254" s="55"/>
      <c r="AP1254" s="55"/>
      <c r="AQ1254" s="55"/>
      <c r="AR1254" s="55"/>
      <c r="AS1254" s="55"/>
      <c r="AT1254" s="55"/>
      <c r="AU1254" s="55"/>
    </row>
    <row r="1255" spans="1:47" ht="15.75" customHeight="1">
      <c r="A1255" s="75"/>
      <c r="B1255" s="66"/>
      <c r="C1255" s="73"/>
      <c r="D1255" s="73"/>
      <c r="E1255" s="65"/>
      <c r="F1255" s="75"/>
      <c r="G1255" s="75"/>
      <c r="H1255" s="75"/>
      <c r="I1255" s="75"/>
      <c r="J1255" s="75"/>
      <c r="K1255" s="75"/>
      <c r="L1255" s="55"/>
      <c r="M1255" s="55"/>
      <c r="N1255" s="55"/>
      <c r="O1255" s="55"/>
      <c r="P1255" s="55"/>
      <c r="Q1255" s="55"/>
      <c r="R1255" s="55"/>
      <c r="S1255" s="55"/>
      <c r="T1255" s="55"/>
      <c r="U1255" s="55"/>
      <c r="V1255" s="55"/>
      <c r="W1255" s="55"/>
      <c r="X1255" s="55"/>
      <c r="Y1255" s="55"/>
      <c r="Z1255" s="55"/>
      <c r="AA1255" s="55"/>
      <c r="AB1255" s="55"/>
      <c r="AC1255" s="55"/>
      <c r="AD1255" s="55"/>
      <c r="AE1255" s="55"/>
      <c r="AF1255" s="55"/>
      <c r="AG1255" s="55"/>
      <c r="AH1255" s="55"/>
      <c r="AI1255" s="55"/>
      <c r="AJ1255" s="55"/>
      <c r="AK1255" s="55"/>
      <c r="AL1255" s="55"/>
      <c r="AM1255" s="55"/>
      <c r="AN1255" s="55"/>
      <c r="AO1255" s="55"/>
      <c r="AP1255" s="55"/>
      <c r="AQ1255" s="55"/>
      <c r="AR1255" s="55"/>
      <c r="AS1255" s="55"/>
      <c r="AT1255" s="55"/>
      <c r="AU1255" s="55"/>
    </row>
    <row r="1256" spans="1:47" ht="15.75" customHeight="1">
      <c r="A1256" s="75"/>
      <c r="B1256" s="66"/>
      <c r="C1256" s="73"/>
      <c r="D1256" s="73"/>
      <c r="E1256" s="65"/>
      <c r="F1256" s="75"/>
      <c r="G1256" s="75"/>
      <c r="H1256" s="75"/>
      <c r="I1256" s="75"/>
      <c r="J1256" s="75"/>
      <c r="K1256" s="75"/>
      <c r="L1256" s="55"/>
      <c r="M1256" s="55"/>
      <c r="N1256" s="55"/>
      <c r="O1256" s="55"/>
      <c r="P1256" s="55"/>
      <c r="Q1256" s="55"/>
      <c r="R1256" s="55"/>
      <c r="S1256" s="55"/>
      <c r="T1256" s="55"/>
      <c r="U1256" s="55"/>
      <c r="V1256" s="55"/>
      <c r="W1256" s="55"/>
      <c r="X1256" s="55"/>
      <c r="Y1256" s="55"/>
      <c r="Z1256" s="55"/>
      <c r="AA1256" s="55"/>
      <c r="AB1256" s="55"/>
      <c r="AC1256" s="55"/>
      <c r="AD1256" s="55"/>
      <c r="AE1256" s="55"/>
      <c r="AF1256" s="55"/>
      <c r="AG1256" s="55"/>
      <c r="AH1256" s="55"/>
      <c r="AI1256" s="55"/>
      <c r="AJ1256" s="55"/>
      <c r="AK1256" s="55"/>
      <c r="AL1256" s="55"/>
      <c r="AM1256" s="55"/>
      <c r="AN1256" s="55"/>
      <c r="AO1256" s="55"/>
      <c r="AP1256" s="55"/>
      <c r="AQ1256" s="55"/>
      <c r="AR1256" s="55"/>
      <c r="AS1256" s="55"/>
      <c r="AT1256" s="55"/>
      <c r="AU1256" s="55"/>
    </row>
    <row r="1257" spans="1:47" ht="15.75" customHeight="1">
      <c r="A1257" s="75"/>
      <c r="B1257" s="66"/>
      <c r="C1257" s="73"/>
      <c r="D1257" s="73"/>
      <c r="E1257" s="65"/>
      <c r="F1257" s="75"/>
      <c r="G1257" s="75"/>
      <c r="H1257" s="75"/>
      <c r="I1257" s="75"/>
      <c r="J1257" s="75"/>
      <c r="K1257" s="75"/>
      <c r="L1257" s="55"/>
      <c r="M1257" s="55"/>
      <c r="N1257" s="55"/>
      <c r="O1257" s="55"/>
      <c r="P1257" s="55"/>
      <c r="Q1257" s="55"/>
      <c r="R1257" s="55"/>
      <c r="S1257" s="55"/>
      <c r="T1257" s="55"/>
      <c r="U1257" s="55"/>
      <c r="V1257" s="55"/>
      <c r="W1257" s="55"/>
      <c r="X1257" s="55"/>
      <c r="Y1257" s="55"/>
      <c r="Z1257" s="55"/>
      <c r="AA1257" s="55"/>
      <c r="AB1257" s="55"/>
      <c r="AC1257" s="55"/>
      <c r="AD1257" s="55"/>
      <c r="AE1257" s="55"/>
      <c r="AF1257" s="55"/>
      <c r="AG1257" s="55"/>
      <c r="AH1257" s="55"/>
      <c r="AI1257" s="55"/>
      <c r="AJ1257" s="55"/>
      <c r="AK1257" s="55"/>
      <c r="AL1257" s="55"/>
      <c r="AM1257" s="55"/>
      <c r="AN1257" s="55"/>
      <c r="AO1257" s="55"/>
      <c r="AP1257" s="55"/>
      <c r="AQ1257" s="55"/>
      <c r="AR1257" s="55"/>
      <c r="AS1257" s="55"/>
      <c r="AT1257" s="55"/>
      <c r="AU1257" s="55"/>
    </row>
    <row r="1258" spans="1:47" ht="15.75" customHeight="1">
      <c r="A1258" s="75"/>
      <c r="B1258" s="66"/>
      <c r="C1258" s="73"/>
      <c r="D1258" s="73"/>
      <c r="E1258" s="65"/>
      <c r="F1258" s="75"/>
      <c r="G1258" s="75"/>
      <c r="H1258" s="75"/>
      <c r="I1258" s="75"/>
      <c r="J1258" s="75"/>
      <c r="K1258" s="75"/>
      <c r="L1258" s="55"/>
      <c r="M1258" s="55"/>
      <c r="N1258" s="55"/>
      <c r="O1258" s="55"/>
      <c r="P1258" s="55"/>
      <c r="Q1258" s="55"/>
      <c r="R1258" s="55"/>
      <c r="S1258" s="55"/>
      <c r="T1258" s="55"/>
      <c r="U1258" s="55"/>
      <c r="V1258" s="55"/>
      <c r="W1258" s="55"/>
      <c r="X1258" s="55"/>
      <c r="Y1258" s="55"/>
      <c r="Z1258" s="55"/>
      <c r="AA1258" s="55"/>
      <c r="AB1258" s="55"/>
      <c r="AC1258" s="55"/>
      <c r="AD1258" s="55"/>
      <c r="AE1258" s="55"/>
      <c r="AF1258" s="55"/>
      <c r="AG1258" s="55"/>
      <c r="AH1258" s="55"/>
      <c r="AI1258" s="55"/>
      <c r="AJ1258" s="55"/>
      <c r="AK1258" s="55"/>
      <c r="AL1258" s="55"/>
      <c r="AM1258" s="55"/>
      <c r="AN1258" s="55"/>
      <c r="AO1258" s="55"/>
      <c r="AP1258" s="55"/>
      <c r="AQ1258" s="55"/>
      <c r="AR1258" s="55"/>
      <c r="AS1258" s="55"/>
      <c r="AT1258" s="55"/>
      <c r="AU1258" s="55"/>
    </row>
    <row r="1259" spans="1:47" ht="15.75" customHeight="1">
      <c r="A1259" s="75"/>
      <c r="B1259" s="66"/>
      <c r="C1259" s="73"/>
      <c r="D1259" s="73"/>
      <c r="E1259" s="65"/>
      <c r="F1259" s="75"/>
      <c r="G1259" s="75"/>
      <c r="H1259" s="75"/>
      <c r="I1259" s="75"/>
      <c r="J1259" s="75"/>
      <c r="K1259" s="75"/>
      <c r="L1259" s="55"/>
      <c r="M1259" s="55"/>
      <c r="N1259" s="55"/>
      <c r="O1259" s="55"/>
      <c r="P1259" s="55"/>
      <c r="Q1259" s="55"/>
      <c r="R1259" s="55"/>
      <c r="S1259" s="55"/>
      <c r="T1259" s="55"/>
      <c r="U1259" s="55"/>
      <c r="V1259" s="55"/>
      <c r="W1259" s="55"/>
      <c r="X1259" s="55"/>
      <c r="Y1259" s="55"/>
      <c r="Z1259" s="55"/>
      <c r="AA1259" s="55"/>
      <c r="AB1259" s="55"/>
      <c r="AC1259" s="55"/>
      <c r="AD1259" s="55"/>
      <c r="AE1259" s="55"/>
      <c r="AF1259" s="55"/>
      <c r="AG1259" s="55"/>
      <c r="AH1259" s="55"/>
      <c r="AI1259" s="55"/>
      <c r="AJ1259" s="55"/>
      <c r="AK1259" s="55"/>
      <c r="AL1259" s="55"/>
      <c r="AM1259" s="55"/>
      <c r="AN1259" s="55"/>
      <c r="AO1259" s="55"/>
      <c r="AP1259" s="55"/>
      <c r="AQ1259" s="55"/>
      <c r="AR1259" s="55"/>
      <c r="AS1259" s="55"/>
      <c r="AT1259" s="55"/>
      <c r="AU1259" s="55"/>
    </row>
    <row r="1260" spans="1:47" ht="15.75" customHeight="1">
      <c r="A1260" s="75"/>
      <c r="B1260" s="66"/>
      <c r="C1260" s="73"/>
      <c r="D1260" s="73"/>
      <c r="E1260" s="65"/>
      <c r="F1260" s="75"/>
      <c r="G1260" s="75"/>
      <c r="H1260" s="75"/>
      <c r="I1260" s="75"/>
      <c r="J1260" s="75"/>
      <c r="K1260" s="75"/>
      <c r="L1260" s="55"/>
      <c r="M1260" s="55"/>
      <c r="N1260" s="55"/>
      <c r="O1260" s="55"/>
      <c r="P1260" s="55"/>
      <c r="Q1260" s="55"/>
      <c r="R1260" s="55"/>
      <c r="S1260" s="55"/>
      <c r="T1260" s="55"/>
      <c r="U1260" s="55"/>
      <c r="V1260" s="55"/>
      <c r="W1260" s="55"/>
      <c r="X1260" s="55"/>
      <c r="Y1260" s="55"/>
      <c r="Z1260" s="55"/>
      <c r="AA1260" s="55"/>
      <c r="AB1260" s="55"/>
      <c r="AC1260" s="55"/>
      <c r="AD1260" s="55"/>
      <c r="AE1260" s="55"/>
      <c r="AF1260" s="55"/>
      <c r="AG1260" s="55"/>
      <c r="AH1260" s="55"/>
      <c r="AI1260" s="55"/>
      <c r="AJ1260" s="55"/>
      <c r="AK1260" s="55"/>
      <c r="AL1260" s="55"/>
      <c r="AM1260" s="55"/>
      <c r="AN1260" s="55"/>
      <c r="AO1260" s="55"/>
      <c r="AP1260" s="55"/>
      <c r="AQ1260" s="55"/>
      <c r="AR1260" s="55"/>
      <c r="AS1260" s="55"/>
      <c r="AT1260" s="55"/>
      <c r="AU1260" s="55"/>
    </row>
    <row r="1261" spans="1:47" ht="15.75" customHeight="1">
      <c r="A1261" s="75"/>
      <c r="B1261" s="66"/>
      <c r="C1261" s="73"/>
      <c r="D1261" s="73"/>
      <c r="E1261" s="65"/>
      <c r="F1261" s="75"/>
      <c r="G1261" s="75"/>
      <c r="H1261" s="75"/>
      <c r="I1261" s="75"/>
      <c r="J1261" s="75"/>
      <c r="K1261" s="75"/>
      <c r="L1261" s="55"/>
      <c r="M1261" s="55"/>
      <c r="N1261" s="55"/>
      <c r="O1261" s="55"/>
      <c r="P1261" s="55"/>
      <c r="Q1261" s="55"/>
      <c r="R1261" s="55"/>
      <c r="S1261" s="55"/>
      <c r="T1261" s="55"/>
      <c r="U1261" s="55"/>
      <c r="V1261" s="55"/>
      <c r="W1261" s="55"/>
      <c r="X1261" s="55"/>
      <c r="Y1261" s="55"/>
      <c r="Z1261" s="55"/>
      <c r="AA1261" s="55"/>
      <c r="AB1261" s="55"/>
      <c r="AC1261" s="55"/>
      <c r="AD1261" s="55"/>
      <c r="AE1261" s="55"/>
      <c r="AF1261" s="55"/>
      <c r="AG1261" s="55"/>
      <c r="AH1261" s="55"/>
      <c r="AI1261" s="55"/>
      <c r="AJ1261" s="55"/>
      <c r="AK1261" s="55"/>
      <c r="AL1261" s="55"/>
      <c r="AM1261" s="55"/>
      <c r="AN1261" s="55"/>
      <c r="AO1261" s="55"/>
      <c r="AP1261" s="55"/>
      <c r="AQ1261" s="55"/>
      <c r="AR1261" s="55"/>
      <c r="AS1261" s="55"/>
      <c r="AT1261" s="55"/>
      <c r="AU1261" s="55"/>
    </row>
    <row r="1262" spans="1:47" ht="15.75" customHeight="1">
      <c r="A1262" s="75"/>
      <c r="B1262" s="66"/>
      <c r="C1262" s="73"/>
      <c r="D1262" s="73"/>
      <c r="E1262" s="65"/>
      <c r="F1262" s="75"/>
      <c r="G1262" s="75"/>
      <c r="H1262" s="75"/>
      <c r="I1262" s="75"/>
      <c r="J1262" s="75"/>
      <c r="K1262" s="75"/>
      <c r="L1262" s="55"/>
      <c r="M1262" s="55"/>
      <c r="N1262" s="55"/>
      <c r="O1262" s="55"/>
      <c r="P1262" s="55"/>
      <c r="Q1262" s="55"/>
      <c r="R1262" s="55"/>
      <c r="S1262" s="55"/>
      <c r="T1262" s="55"/>
      <c r="U1262" s="55"/>
      <c r="V1262" s="55"/>
      <c r="W1262" s="55"/>
      <c r="X1262" s="55"/>
      <c r="Y1262" s="55"/>
      <c r="Z1262" s="55"/>
      <c r="AA1262" s="55"/>
      <c r="AB1262" s="55"/>
      <c r="AC1262" s="55"/>
      <c r="AD1262" s="55"/>
      <c r="AE1262" s="55"/>
      <c r="AF1262" s="55"/>
      <c r="AG1262" s="55"/>
      <c r="AH1262" s="55"/>
      <c r="AI1262" s="55"/>
      <c r="AJ1262" s="55"/>
      <c r="AK1262" s="55"/>
      <c r="AL1262" s="55"/>
      <c r="AM1262" s="55"/>
      <c r="AN1262" s="55"/>
      <c r="AO1262" s="55"/>
      <c r="AP1262" s="55"/>
      <c r="AQ1262" s="55"/>
      <c r="AR1262" s="55"/>
      <c r="AS1262" s="55"/>
      <c r="AT1262" s="55"/>
      <c r="AU1262" s="55"/>
    </row>
    <row r="1263" spans="1:47" ht="15.75" customHeight="1">
      <c r="A1263" s="75"/>
      <c r="B1263" s="66"/>
      <c r="C1263" s="73"/>
      <c r="D1263" s="73"/>
      <c r="E1263" s="65"/>
      <c r="F1263" s="75"/>
      <c r="G1263" s="75"/>
      <c r="H1263" s="75"/>
      <c r="I1263" s="75"/>
      <c r="J1263" s="75"/>
      <c r="K1263" s="75"/>
      <c r="L1263" s="55"/>
      <c r="M1263" s="55"/>
      <c r="N1263" s="55"/>
      <c r="O1263" s="55"/>
      <c r="P1263" s="55"/>
      <c r="Q1263" s="55"/>
      <c r="R1263" s="55"/>
      <c r="S1263" s="55"/>
      <c r="T1263" s="55"/>
      <c r="U1263" s="55"/>
      <c r="V1263" s="55"/>
      <c r="W1263" s="55"/>
      <c r="X1263" s="55"/>
      <c r="Y1263" s="55"/>
      <c r="Z1263" s="55"/>
      <c r="AA1263" s="55"/>
      <c r="AB1263" s="55"/>
      <c r="AC1263" s="55"/>
      <c r="AD1263" s="55"/>
      <c r="AE1263" s="55"/>
      <c r="AF1263" s="55"/>
      <c r="AG1263" s="55"/>
      <c r="AH1263" s="55"/>
      <c r="AI1263" s="55"/>
      <c r="AJ1263" s="55"/>
      <c r="AK1263" s="55"/>
      <c r="AL1263" s="55"/>
      <c r="AM1263" s="55"/>
      <c r="AN1263" s="55"/>
      <c r="AO1263" s="55"/>
      <c r="AP1263" s="55"/>
      <c r="AQ1263" s="55"/>
      <c r="AR1263" s="55"/>
      <c r="AS1263" s="55"/>
      <c r="AT1263" s="55"/>
      <c r="AU1263" s="55"/>
    </row>
    <row r="1264" spans="1:47" ht="15.75" customHeight="1">
      <c r="A1264" s="75"/>
      <c r="B1264" s="66"/>
      <c r="C1264" s="73"/>
      <c r="D1264" s="73"/>
      <c r="E1264" s="65"/>
      <c r="F1264" s="75"/>
      <c r="G1264" s="75"/>
      <c r="H1264" s="75"/>
      <c r="I1264" s="75"/>
      <c r="J1264" s="75"/>
      <c r="K1264" s="75"/>
      <c r="L1264" s="55"/>
      <c r="M1264" s="55"/>
      <c r="N1264" s="55"/>
      <c r="O1264" s="55"/>
      <c r="P1264" s="55"/>
      <c r="Q1264" s="55"/>
      <c r="R1264" s="55"/>
      <c r="S1264" s="55"/>
      <c r="T1264" s="55"/>
      <c r="U1264" s="55"/>
      <c r="V1264" s="55"/>
      <c r="W1264" s="55"/>
      <c r="X1264" s="55"/>
      <c r="Y1264" s="55"/>
      <c r="Z1264" s="55"/>
      <c r="AA1264" s="55"/>
      <c r="AB1264" s="55"/>
      <c r="AC1264" s="55"/>
      <c r="AD1264" s="55"/>
      <c r="AE1264" s="55"/>
      <c r="AF1264" s="55"/>
      <c r="AG1264" s="55"/>
      <c r="AH1264" s="55"/>
      <c r="AI1264" s="55"/>
      <c r="AJ1264" s="55"/>
      <c r="AK1264" s="55"/>
      <c r="AL1264" s="55"/>
      <c r="AM1264" s="55"/>
      <c r="AN1264" s="55"/>
      <c r="AO1264" s="55"/>
      <c r="AP1264" s="55"/>
      <c r="AQ1264" s="55"/>
      <c r="AR1264" s="55"/>
      <c r="AS1264" s="55"/>
      <c r="AT1264" s="55"/>
      <c r="AU1264" s="55"/>
    </row>
    <row r="1265" spans="1:47" ht="15.75" customHeight="1">
      <c r="A1265" s="75"/>
      <c r="B1265" s="66"/>
      <c r="C1265" s="73"/>
      <c r="D1265" s="73"/>
      <c r="E1265" s="65"/>
      <c r="F1265" s="75"/>
      <c r="G1265" s="75"/>
      <c r="H1265" s="75"/>
      <c r="I1265" s="75"/>
      <c r="J1265" s="75"/>
      <c r="K1265" s="75"/>
      <c r="L1265" s="55"/>
      <c r="M1265" s="55"/>
      <c r="N1265" s="55"/>
      <c r="O1265" s="55"/>
      <c r="P1265" s="55"/>
      <c r="Q1265" s="55"/>
      <c r="R1265" s="55"/>
      <c r="S1265" s="55"/>
      <c r="T1265" s="55"/>
      <c r="U1265" s="55"/>
      <c r="V1265" s="55"/>
      <c r="W1265" s="55"/>
      <c r="X1265" s="55"/>
      <c r="Y1265" s="55"/>
      <c r="Z1265" s="55"/>
      <c r="AA1265" s="55"/>
      <c r="AB1265" s="55"/>
      <c r="AC1265" s="55"/>
      <c r="AD1265" s="55"/>
      <c r="AE1265" s="55"/>
      <c r="AF1265" s="55"/>
      <c r="AG1265" s="55"/>
      <c r="AH1265" s="55"/>
      <c r="AI1265" s="55"/>
      <c r="AJ1265" s="55"/>
      <c r="AK1265" s="55"/>
      <c r="AL1265" s="55"/>
      <c r="AM1265" s="55"/>
      <c r="AN1265" s="55"/>
      <c r="AO1265" s="55"/>
      <c r="AP1265" s="55"/>
      <c r="AQ1265" s="55"/>
      <c r="AR1265" s="55"/>
      <c r="AS1265" s="55"/>
      <c r="AT1265" s="55"/>
      <c r="AU1265" s="55"/>
    </row>
    <row r="1266" spans="1:47" ht="15.75" customHeight="1">
      <c r="A1266" s="75"/>
      <c r="B1266" s="66"/>
      <c r="C1266" s="73"/>
      <c r="D1266" s="73"/>
      <c r="E1266" s="65"/>
      <c r="F1266" s="75"/>
      <c r="G1266" s="75"/>
      <c r="H1266" s="75"/>
      <c r="I1266" s="75"/>
      <c r="J1266" s="75"/>
      <c r="K1266" s="75"/>
      <c r="L1266" s="55"/>
      <c r="M1266" s="55"/>
      <c r="N1266" s="55"/>
      <c r="O1266" s="55"/>
      <c r="P1266" s="55"/>
      <c r="Q1266" s="55"/>
      <c r="R1266" s="55"/>
      <c r="S1266" s="55"/>
      <c r="T1266" s="55"/>
      <c r="U1266" s="55"/>
      <c r="V1266" s="55"/>
      <c r="W1266" s="55"/>
      <c r="X1266" s="55"/>
      <c r="Y1266" s="55"/>
      <c r="Z1266" s="55"/>
      <c r="AA1266" s="55"/>
      <c r="AB1266" s="55"/>
      <c r="AC1266" s="55"/>
      <c r="AD1266" s="55"/>
      <c r="AE1266" s="55"/>
      <c r="AF1266" s="55"/>
      <c r="AG1266" s="55"/>
      <c r="AH1266" s="55"/>
      <c r="AI1266" s="55"/>
      <c r="AJ1266" s="55"/>
      <c r="AK1266" s="55"/>
      <c r="AL1266" s="55"/>
      <c r="AM1266" s="55"/>
      <c r="AN1266" s="55"/>
      <c r="AO1266" s="55"/>
      <c r="AP1266" s="55"/>
      <c r="AQ1266" s="55"/>
      <c r="AR1266" s="55"/>
      <c r="AS1266" s="55"/>
      <c r="AT1266" s="55"/>
      <c r="AU1266" s="55"/>
    </row>
    <row r="1267" spans="1:47" ht="15.75" customHeight="1">
      <c r="A1267" s="75"/>
      <c r="B1267" s="66"/>
      <c r="C1267" s="73"/>
      <c r="D1267" s="73"/>
      <c r="E1267" s="65"/>
      <c r="F1267" s="75"/>
      <c r="G1267" s="75"/>
      <c r="H1267" s="75"/>
      <c r="I1267" s="75"/>
      <c r="J1267" s="75"/>
      <c r="K1267" s="75"/>
      <c r="L1267" s="55"/>
      <c r="M1267" s="55"/>
      <c r="N1267" s="55"/>
      <c r="O1267" s="55"/>
      <c r="P1267" s="55"/>
      <c r="Q1267" s="55"/>
      <c r="R1267" s="55"/>
      <c r="S1267" s="55"/>
      <c r="T1267" s="55"/>
      <c r="U1267" s="55"/>
      <c r="V1267" s="55"/>
      <c r="W1267" s="55"/>
      <c r="X1267" s="55"/>
      <c r="Y1267" s="55"/>
      <c r="Z1267" s="55"/>
      <c r="AA1267" s="55"/>
      <c r="AB1267" s="55"/>
      <c r="AC1267" s="55"/>
      <c r="AD1267" s="55"/>
      <c r="AE1267" s="55"/>
      <c r="AF1267" s="55"/>
      <c r="AG1267" s="55"/>
      <c r="AH1267" s="55"/>
      <c r="AI1267" s="55"/>
      <c r="AJ1267" s="55"/>
      <c r="AK1267" s="55"/>
      <c r="AL1267" s="55"/>
      <c r="AM1267" s="55"/>
      <c r="AN1267" s="55"/>
      <c r="AO1267" s="55"/>
      <c r="AP1267" s="55"/>
      <c r="AQ1267" s="55"/>
      <c r="AR1267" s="55"/>
      <c r="AS1267" s="55"/>
      <c r="AT1267" s="55"/>
      <c r="AU1267" s="55"/>
    </row>
    <row r="1268" spans="1:47" ht="15.75" customHeight="1">
      <c r="A1268" s="75"/>
      <c r="B1268" s="66"/>
      <c r="C1268" s="73"/>
      <c r="D1268" s="73"/>
      <c r="E1268" s="65"/>
      <c r="F1268" s="75"/>
      <c r="G1268" s="75"/>
      <c r="H1268" s="75"/>
      <c r="I1268" s="75"/>
      <c r="J1268" s="75"/>
      <c r="K1268" s="75"/>
      <c r="L1268" s="55"/>
      <c r="M1268" s="55"/>
      <c r="N1268" s="55"/>
      <c r="O1268" s="55"/>
      <c r="P1268" s="55"/>
      <c r="Q1268" s="55"/>
      <c r="R1268" s="55"/>
      <c r="S1268" s="55"/>
      <c r="T1268" s="55"/>
      <c r="U1268" s="55"/>
      <c r="V1268" s="55"/>
      <c r="W1268" s="55"/>
      <c r="X1268" s="55"/>
      <c r="Y1268" s="55"/>
      <c r="Z1268" s="55"/>
      <c r="AA1268" s="55"/>
      <c r="AB1268" s="55"/>
      <c r="AC1268" s="55"/>
      <c r="AD1268" s="55"/>
      <c r="AE1268" s="55"/>
      <c r="AF1268" s="55"/>
      <c r="AG1268" s="55"/>
      <c r="AH1268" s="55"/>
      <c r="AI1268" s="55"/>
      <c r="AJ1268" s="55"/>
      <c r="AK1268" s="55"/>
      <c r="AL1268" s="55"/>
      <c r="AM1268" s="55"/>
      <c r="AN1268" s="55"/>
      <c r="AO1268" s="55"/>
      <c r="AP1268" s="55"/>
      <c r="AQ1268" s="55"/>
      <c r="AR1268" s="55"/>
      <c r="AS1268" s="55"/>
      <c r="AT1268" s="55"/>
      <c r="AU1268" s="55"/>
    </row>
    <row r="1269" spans="1:47" ht="15.75" customHeight="1">
      <c r="A1269" s="75"/>
      <c r="B1269" s="66"/>
      <c r="C1269" s="73"/>
      <c r="D1269" s="73"/>
      <c r="E1269" s="65"/>
      <c r="F1269" s="75"/>
      <c r="G1269" s="75"/>
      <c r="H1269" s="75"/>
      <c r="I1269" s="75"/>
      <c r="J1269" s="75"/>
      <c r="K1269" s="75"/>
      <c r="L1269" s="55"/>
      <c r="M1269" s="55"/>
      <c r="N1269" s="55"/>
      <c r="O1269" s="55"/>
      <c r="P1269" s="55"/>
      <c r="Q1269" s="55"/>
      <c r="R1269" s="55"/>
      <c r="S1269" s="55"/>
      <c r="T1269" s="55"/>
      <c r="U1269" s="55"/>
      <c r="V1269" s="55"/>
      <c r="W1269" s="55"/>
      <c r="X1269" s="55"/>
      <c r="Y1269" s="55"/>
      <c r="Z1269" s="55"/>
      <c r="AA1269" s="55"/>
      <c r="AB1269" s="55"/>
      <c r="AC1269" s="55"/>
      <c r="AD1269" s="55"/>
      <c r="AE1269" s="55"/>
      <c r="AF1269" s="55"/>
      <c r="AG1269" s="55"/>
      <c r="AH1269" s="55"/>
      <c r="AI1269" s="55"/>
      <c r="AJ1269" s="55"/>
      <c r="AK1269" s="55"/>
      <c r="AL1269" s="55"/>
      <c r="AM1269" s="55"/>
      <c r="AN1269" s="55"/>
      <c r="AO1269" s="55"/>
      <c r="AP1269" s="55"/>
      <c r="AQ1269" s="55"/>
      <c r="AR1269" s="55"/>
      <c r="AS1269" s="55"/>
      <c r="AT1269" s="55"/>
      <c r="AU1269" s="55"/>
    </row>
    <row r="1270" spans="1:47" ht="15.75" customHeight="1">
      <c r="A1270" s="75"/>
      <c r="B1270" s="66"/>
      <c r="C1270" s="73"/>
      <c r="D1270" s="73"/>
      <c r="E1270" s="65"/>
      <c r="F1270" s="75"/>
      <c r="G1270" s="75"/>
      <c r="H1270" s="75"/>
      <c r="I1270" s="75"/>
      <c r="J1270" s="75"/>
      <c r="K1270" s="75"/>
      <c r="L1270" s="55"/>
      <c r="M1270" s="55"/>
      <c r="N1270" s="55"/>
      <c r="O1270" s="55"/>
      <c r="P1270" s="55"/>
      <c r="Q1270" s="55"/>
      <c r="R1270" s="55"/>
      <c r="S1270" s="55"/>
      <c r="T1270" s="55"/>
      <c r="U1270" s="55"/>
      <c r="V1270" s="55"/>
      <c r="W1270" s="55"/>
      <c r="X1270" s="55"/>
      <c r="Y1270" s="55"/>
      <c r="Z1270" s="55"/>
      <c r="AA1270" s="55"/>
      <c r="AB1270" s="55"/>
      <c r="AC1270" s="55"/>
      <c r="AD1270" s="55"/>
      <c r="AE1270" s="55"/>
      <c r="AF1270" s="55"/>
      <c r="AG1270" s="55"/>
      <c r="AH1270" s="55"/>
      <c r="AI1270" s="55"/>
      <c r="AJ1270" s="55"/>
      <c r="AK1270" s="55"/>
      <c r="AL1270" s="55"/>
      <c r="AM1270" s="55"/>
      <c r="AN1270" s="55"/>
      <c r="AO1270" s="55"/>
      <c r="AP1270" s="55"/>
      <c r="AQ1270" s="55"/>
      <c r="AR1270" s="55"/>
      <c r="AS1270" s="55"/>
      <c r="AT1270" s="55"/>
      <c r="AU1270" s="55"/>
    </row>
    <row r="1271" spans="1:47" ht="15.75" customHeight="1">
      <c r="A1271" s="75"/>
      <c r="B1271" s="66"/>
      <c r="C1271" s="73"/>
      <c r="D1271" s="73"/>
      <c r="E1271" s="65"/>
      <c r="F1271" s="75"/>
      <c r="G1271" s="75"/>
      <c r="H1271" s="75"/>
      <c r="I1271" s="75"/>
      <c r="J1271" s="75"/>
      <c r="K1271" s="75"/>
      <c r="L1271" s="55"/>
      <c r="M1271" s="55"/>
      <c r="N1271" s="55"/>
      <c r="O1271" s="55"/>
      <c r="P1271" s="55"/>
      <c r="Q1271" s="55"/>
      <c r="R1271" s="55"/>
      <c r="S1271" s="55"/>
      <c r="T1271" s="55"/>
      <c r="U1271" s="55"/>
      <c r="V1271" s="55"/>
      <c r="W1271" s="55"/>
      <c r="X1271" s="55"/>
      <c r="Y1271" s="55"/>
      <c r="Z1271" s="55"/>
      <c r="AA1271" s="55"/>
      <c r="AB1271" s="55"/>
      <c r="AC1271" s="55"/>
      <c r="AD1271" s="55"/>
      <c r="AE1271" s="55"/>
      <c r="AF1271" s="55"/>
      <c r="AG1271" s="55"/>
      <c r="AH1271" s="55"/>
      <c r="AI1271" s="55"/>
      <c r="AJ1271" s="55"/>
      <c r="AK1271" s="55"/>
      <c r="AL1271" s="55"/>
      <c r="AM1271" s="55"/>
      <c r="AN1271" s="55"/>
      <c r="AO1271" s="55"/>
      <c r="AP1271" s="55"/>
      <c r="AQ1271" s="55"/>
      <c r="AR1271" s="55"/>
      <c r="AS1271" s="55"/>
      <c r="AT1271" s="55"/>
      <c r="AU1271" s="55"/>
    </row>
    <row r="1272" spans="1:47" ht="15.75" customHeight="1">
      <c r="A1272" s="75"/>
      <c r="B1272" s="66"/>
      <c r="C1272" s="73"/>
      <c r="D1272" s="73"/>
      <c r="E1272" s="65"/>
      <c r="F1272" s="75"/>
      <c r="G1272" s="75"/>
      <c r="H1272" s="75"/>
      <c r="I1272" s="75"/>
      <c r="J1272" s="75"/>
      <c r="K1272" s="75"/>
      <c r="L1272" s="55"/>
      <c r="M1272" s="55"/>
      <c r="N1272" s="55"/>
      <c r="O1272" s="55"/>
      <c r="P1272" s="55"/>
      <c r="Q1272" s="55"/>
      <c r="R1272" s="55"/>
      <c r="S1272" s="55"/>
      <c r="T1272" s="55"/>
      <c r="U1272" s="55"/>
      <c r="V1272" s="55"/>
      <c r="W1272" s="55"/>
      <c r="X1272" s="55"/>
      <c r="Y1272" s="55"/>
      <c r="Z1272" s="55"/>
      <c r="AA1272" s="55"/>
      <c r="AB1272" s="55"/>
      <c r="AC1272" s="55"/>
      <c r="AD1272" s="55"/>
      <c r="AE1272" s="55"/>
      <c r="AF1272" s="55"/>
      <c r="AG1272" s="55"/>
      <c r="AH1272" s="55"/>
      <c r="AI1272" s="55"/>
      <c r="AJ1272" s="55"/>
      <c r="AK1272" s="55"/>
      <c r="AL1272" s="55"/>
      <c r="AM1272" s="55"/>
      <c r="AN1272" s="55"/>
      <c r="AO1272" s="55"/>
      <c r="AP1272" s="55"/>
      <c r="AQ1272" s="55"/>
      <c r="AR1272" s="55"/>
      <c r="AS1272" s="55"/>
      <c r="AT1272" s="55"/>
      <c r="AU1272" s="55"/>
    </row>
    <row r="1273" spans="1:47" ht="15.75" customHeight="1">
      <c r="A1273" s="75"/>
      <c r="B1273" s="66"/>
      <c r="C1273" s="73"/>
      <c r="D1273" s="73"/>
      <c r="E1273" s="65"/>
      <c r="F1273" s="75"/>
      <c r="G1273" s="75"/>
      <c r="H1273" s="75"/>
      <c r="I1273" s="75"/>
      <c r="J1273" s="75"/>
      <c r="K1273" s="75"/>
      <c r="L1273" s="55"/>
      <c r="M1273" s="55"/>
      <c r="N1273" s="55"/>
      <c r="O1273" s="55"/>
      <c r="P1273" s="55"/>
      <c r="Q1273" s="55"/>
      <c r="R1273" s="55"/>
      <c r="S1273" s="55"/>
      <c r="T1273" s="55"/>
      <c r="U1273" s="55"/>
      <c r="V1273" s="55"/>
      <c r="W1273" s="55"/>
      <c r="X1273" s="55"/>
      <c r="Y1273" s="55"/>
      <c r="Z1273" s="55"/>
      <c r="AA1273" s="55"/>
      <c r="AB1273" s="55"/>
      <c r="AC1273" s="55"/>
      <c r="AD1273" s="55"/>
      <c r="AE1273" s="55"/>
      <c r="AF1273" s="55"/>
      <c r="AG1273" s="55"/>
      <c r="AH1273" s="55"/>
      <c r="AI1273" s="55"/>
      <c r="AJ1273" s="55"/>
      <c r="AK1273" s="55"/>
      <c r="AL1273" s="55"/>
      <c r="AM1273" s="55"/>
      <c r="AN1273" s="55"/>
      <c r="AO1273" s="55"/>
      <c r="AP1273" s="55"/>
      <c r="AQ1273" s="55"/>
      <c r="AR1273" s="55"/>
      <c r="AS1273" s="55"/>
      <c r="AT1273" s="55"/>
      <c r="AU1273" s="55"/>
    </row>
    <row r="1274" spans="1:47" ht="15.75" customHeight="1">
      <c r="A1274" s="75"/>
      <c r="B1274" s="66"/>
      <c r="C1274" s="73"/>
      <c r="D1274" s="73"/>
      <c r="E1274" s="65"/>
      <c r="F1274" s="75"/>
      <c r="G1274" s="75"/>
      <c r="H1274" s="75"/>
      <c r="I1274" s="75"/>
      <c r="J1274" s="75"/>
      <c r="K1274" s="75"/>
      <c r="L1274" s="55"/>
      <c r="M1274" s="55"/>
      <c r="N1274" s="55"/>
      <c r="O1274" s="55"/>
      <c r="P1274" s="55"/>
      <c r="Q1274" s="55"/>
      <c r="R1274" s="55"/>
      <c r="S1274" s="55"/>
      <c r="T1274" s="55"/>
      <c r="U1274" s="55"/>
      <c r="V1274" s="55"/>
      <c r="W1274" s="55"/>
      <c r="X1274" s="55"/>
      <c r="Y1274" s="55"/>
      <c r="Z1274" s="55"/>
      <c r="AA1274" s="55"/>
      <c r="AB1274" s="55"/>
      <c r="AC1274" s="55"/>
      <c r="AD1274" s="55"/>
      <c r="AE1274" s="55"/>
      <c r="AF1274" s="55"/>
      <c r="AG1274" s="55"/>
      <c r="AH1274" s="55"/>
      <c r="AI1274" s="55"/>
      <c r="AJ1274" s="55"/>
      <c r="AK1274" s="55"/>
      <c r="AL1274" s="55"/>
      <c r="AM1274" s="55"/>
      <c r="AN1274" s="55"/>
      <c r="AO1274" s="55"/>
      <c r="AP1274" s="55"/>
      <c r="AQ1274" s="55"/>
      <c r="AR1274" s="55"/>
      <c r="AS1274" s="55"/>
      <c r="AT1274" s="55"/>
      <c r="AU1274" s="55"/>
    </row>
    <row r="1275" spans="1:47" ht="15.75" customHeight="1">
      <c r="A1275" s="75"/>
      <c r="B1275" s="66"/>
      <c r="C1275" s="73"/>
      <c r="D1275" s="73"/>
      <c r="E1275" s="65"/>
      <c r="F1275" s="75"/>
      <c r="G1275" s="75"/>
      <c r="H1275" s="75"/>
      <c r="I1275" s="75"/>
      <c r="J1275" s="75"/>
      <c r="K1275" s="75"/>
      <c r="L1275" s="55"/>
      <c r="M1275" s="55"/>
      <c r="N1275" s="55"/>
      <c r="O1275" s="55"/>
      <c r="P1275" s="55"/>
      <c r="Q1275" s="55"/>
      <c r="R1275" s="55"/>
      <c r="S1275" s="55"/>
      <c r="T1275" s="55"/>
      <c r="U1275" s="55"/>
      <c r="V1275" s="55"/>
      <c r="W1275" s="55"/>
      <c r="X1275" s="55"/>
      <c r="Y1275" s="55"/>
      <c r="Z1275" s="55"/>
      <c r="AA1275" s="55"/>
      <c r="AB1275" s="55"/>
      <c r="AC1275" s="55"/>
      <c r="AD1275" s="55"/>
      <c r="AE1275" s="55"/>
      <c r="AF1275" s="55"/>
      <c r="AG1275" s="55"/>
      <c r="AH1275" s="55"/>
      <c r="AI1275" s="55"/>
      <c r="AJ1275" s="55"/>
      <c r="AK1275" s="55"/>
      <c r="AL1275" s="55"/>
      <c r="AM1275" s="55"/>
      <c r="AN1275" s="55"/>
      <c r="AO1275" s="55"/>
      <c r="AP1275" s="55"/>
      <c r="AQ1275" s="55"/>
      <c r="AR1275" s="55"/>
      <c r="AS1275" s="55"/>
      <c r="AT1275" s="55"/>
      <c r="AU1275" s="55"/>
    </row>
    <row r="1276" spans="1:47" ht="15.75" customHeight="1">
      <c r="A1276" s="75"/>
      <c r="B1276" s="66"/>
      <c r="C1276" s="73"/>
      <c r="D1276" s="73"/>
      <c r="E1276" s="65"/>
      <c r="F1276" s="75"/>
      <c r="G1276" s="75"/>
      <c r="H1276" s="75"/>
      <c r="I1276" s="75"/>
      <c r="J1276" s="75"/>
      <c r="K1276" s="75"/>
      <c r="L1276" s="55"/>
      <c r="M1276" s="55"/>
      <c r="N1276" s="55"/>
      <c r="O1276" s="55"/>
      <c r="P1276" s="55"/>
      <c r="Q1276" s="55"/>
      <c r="R1276" s="55"/>
      <c r="S1276" s="55"/>
      <c r="T1276" s="55"/>
      <c r="U1276" s="55"/>
      <c r="V1276" s="55"/>
      <c r="W1276" s="55"/>
      <c r="X1276" s="55"/>
      <c r="Y1276" s="55"/>
      <c r="Z1276" s="55"/>
      <c r="AA1276" s="55"/>
      <c r="AB1276" s="55"/>
      <c r="AC1276" s="55"/>
      <c r="AD1276" s="55"/>
      <c r="AE1276" s="55"/>
      <c r="AF1276" s="55"/>
      <c r="AG1276" s="55"/>
      <c r="AH1276" s="55"/>
      <c r="AI1276" s="55"/>
      <c r="AJ1276" s="55"/>
      <c r="AK1276" s="55"/>
      <c r="AL1276" s="55"/>
      <c r="AM1276" s="55"/>
      <c r="AN1276" s="55"/>
      <c r="AO1276" s="55"/>
      <c r="AP1276" s="55"/>
      <c r="AQ1276" s="55"/>
      <c r="AR1276" s="55"/>
      <c r="AS1276" s="55"/>
      <c r="AT1276" s="55"/>
      <c r="AU1276" s="55"/>
    </row>
    <row r="1277" spans="1:47" ht="15.75" customHeight="1">
      <c r="A1277" s="75"/>
      <c r="B1277" s="66"/>
      <c r="C1277" s="73"/>
      <c r="D1277" s="73"/>
      <c r="E1277" s="65"/>
      <c r="F1277" s="75"/>
      <c r="G1277" s="75"/>
      <c r="H1277" s="75"/>
      <c r="I1277" s="75"/>
      <c r="J1277" s="75"/>
      <c r="K1277" s="75"/>
      <c r="L1277" s="55"/>
      <c r="M1277" s="55"/>
      <c r="N1277" s="55"/>
      <c r="O1277" s="55"/>
      <c r="P1277" s="55"/>
      <c r="Q1277" s="55"/>
      <c r="R1277" s="55"/>
      <c r="S1277" s="55"/>
      <c r="T1277" s="55"/>
      <c r="U1277" s="55"/>
      <c r="V1277" s="55"/>
      <c r="W1277" s="55"/>
      <c r="X1277" s="55"/>
      <c r="Y1277" s="55"/>
      <c r="Z1277" s="55"/>
      <c r="AA1277" s="55"/>
      <c r="AB1277" s="55"/>
      <c r="AC1277" s="55"/>
      <c r="AD1277" s="55"/>
      <c r="AE1277" s="55"/>
      <c r="AF1277" s="55"/>
      <c r="AG1277" s="55"/>
      <c r="AH1277" s="55"/>
      <c r="AI1277" s="55"/>
      <c r="AJ1277" s="55"/>
      <c r="AK1277" s="55"/>
      <c r="AL1277" s="55"/>
      <c r="AM1277" s="55"/>
      <c r="AN1277" s="55"/>
      <c r="AO1277" s="55"/>
      <c r="AP1277" s="55"/>
      <c r="AQ1277" s="55"/>
      <c r="AR1277" s="55"/>
      <c r="AS1277" s="55"/>
      <c r="AT1277" s="55"/>
      <c r="AU1277" s="55"/>
    </row>
    <row r="1278" spans="1:47" ht="15.75" customHeight="1">
      <c r="A1278" s="75"/>
      <c r="B1278" s="66"/>
      <c r="C1278" s="73"/>
      <c r="D1278" s="73"/>
      <c r="E1278" s="65"/>
      <c r="F1278" s="75"/>
      <c r="G1278" s="75"/>
      <c r="H1278" s="75"/>
      <c r="I1278" s="75"/>
      <c r="J1278" s="75"/>
      <c r="K1278" s="75"/>
      <c r="L1278" s="55"/>
      <c r="M1278" s="55"/>
      <c r="N1278" s="55"/>
      <c r="O1278" s="55"/>
      <c r="P1278" s="55"/>
      <c r="Q1278" s="55"/>
      <c r="R1278" s="55"/>
      <c r="S1278" s="55"/>
      <c r="T1278" s="55"/>
      <c r="U1278" s="55"/>
      <c r="V1278" s="55"/>
      <c r="W1278" s="55"/>
      <c r="X1278" s="55"/>
      <c r="Y1278" s="55"/>
      <c r="Z1278" s="55"/>
      <c r="AA1278" s="55"/>
      <c r="AB1278" s="55"/>
      <c r="AC1278" s="55"/>
      <c r="AD1278" s="55"/>
      <c r="AE1278" s="55"/>
      <c r="AF1278" s="55"/>
      <c r="AG1278" s="55"/>
      <c r="AH1278" s="55"/>
      <c r="AI1278" s="55"/>
      <c r="AJ1278" s="55"/>
      <c r="AK1278" s="55"/>
      <c r="AL1278" s="55"/>
      <c r="AM1278" s="55"/>
      <c r="AN1278" s="55"/>
      <c r="AO1278" s="55"/>
      <c r="AP1278" s="55"/>
      <c r="AQ1278" s="55"/>
      <c r="AR1278" s="55"/>
      <c r="AS1278" s="55"/>
      <c r="AT1278" s="55"/>
      <c r="AU1278" s="55"/>
    </row>
    <row r="1279" spans="1:47" ht="15.75" customHeight="1">
      <c r="A1279" s="75"/>
      <c r="B1279" s="66"/>
      <c r="C1279" s="73"/>
      <c r="D1279" s="73"/>
      <c r="E1279" s="65"/>
      <c r="F1279" s="75"/>
      <c r="G1279" s="75"/>
      <c r="H1279" s="75"/>
      <c r="I1279" s="75"/>
      <c r="J1279" s="75"/>
      <c r="K1279" s="75"/>
      <c r="L1279" s="55"/>
      <c r="M1279" s="55"/>
      <c r="N1279" s="55"/>
      <c r="O1279" s="55"/>
      <c r="P1279" s="55"/>
      <c r="Q1279" s="55"/>
      <c r="R1279" s="55"/>
      <c r="S1279" s="55"/>
      <c r="T1279" s="55"/>
      <c r="U1279" s="55"/>
      <c r="V1279" s="55"/>
      <c r="W1279" s="55"/>
      <c r="X1279" s="55"/>
      <c r="Y1279" s="55"/>
      <c r="Z1279" s="55"/>
      <c r="AA1279" s="55"/>
      <c r="AB1279" s="55"/>
      <c r="AC1279" s="55"/>
      <c r="AD1279" s="55"/>
      <c r="AE1279" s="55"/>
      <c r="AF1279" s="55"/>
      <c r="AG1279" s="55"/>
      <c r="AH1279" s="55"/>
      <c r="AI1279" s="55"/>
      <c r="AJ1279" s="55"/>
      <c r="AK1279" s="55"/>
      <c r="AL1279" s="55"/>
      <c r="AM1279" s="55"/>
      <c r="AN1279" s="55"/>
      <c r="AO1279" s="55"/>
      <c r="AP1279" s="55"/>
      <c r="AQ1279" s="55"/>
      <c r="AR1279" s="55"/>
      <c r="AS1279" s="55"/>
      <c r="AT1279" s="55"/>
      <c r="AU1279" s="55"/>
    </row>
    <row r="1280" spans="1:47" ht="15.75" customHeight="1">
      <c r="A1280" s="75"/>
      <c r="B1280" s="66"/>
      <c r="C1280" s="73"/>
      <c r="D1280" s="73"/>
      <c r="E1280" s="65"/>
      <c r="F1280" s="75"/>
      <c r="G1280" s="75"/>
      <c r="H1280" s="75"/>
      <c r="I1280" s="75"/>
      <c r="J1280" s="75"/>
      <c r="K1280" s="75"/>
      <c r="L1280" s="55"/>
      <c r="M1280" s="55"/>
      <c r="N1280" s="55"/>
      <c r="O1280" s="55"/>
      <c r="P1280" s="55"/>
      <c r="Q1280" s="55"/>
      <c r="R1280" s="55"/>
      <c r="S1280" s="55"/>
      <c r="T1280" s="55"/>
      <c r="U1280" s="55"/>
      <c r="V1280" s="55"/>
      <c r="W1280" s="55"/>
      <c r="X1280" s="55"/>
      <c r="Y1280" s="55"/>
      <c r="Z1280" s="55"/>
      <c r="AA1280" s="55"/>
      <c r="AB1280" s="55"/>
      <c r="AC1280" s="55"/>
      <c r="AD1280" s="55"/>
      <c r="AE1280" s="55"/>
      <c r="AF1280" s="55"/>
      <c r="AG1280" s="55"/>
      <c r="AH1280" s="55"/>
      <c r="AI1280" s="55"/>
      <c r="AJ1280" s="55"/>
      <c r="AK1280" s="55"/>
      <c r="AL1280" s="55"/>
      <c r="AM1280" s="55"/>
      <c r="AN1280" s="55"/>
      <c r="AO1280" s="55"/>
      <c r="AP1280" s="55"/>
      <c r="AQ1280" s="55"/>
      <c r="AR1280" s="55"/>
      <c r="AS1280" s="55"/>
      <c r="AT1280" s="55"/>
      <c r="AU1280" s="55"/>
    </row>
    <row r="1281" spans="1:47" ht="15.75" customHeight="1">
      <c r="A1281" s="75"/>
      <c r="B1281" s="66"/>
      <c r="C1281" s="73"/>
      <c r="D1281" s="73"/>
      <c r="E1281" s="65"/>
      <c r="F1281" s="75"/>
      <c r="G1281" s="75"/>
      <c r="H1281" s="75"/>
      <c r="I1281" s="75"/>
      <c r="J1281" s="75"/>
      <c r="K1281" s="75"/>
      <c r="L1281" s="55"/>
      <c r="M1281" s="55"/>
      <c r="N1281" s="55"/>
      <c r="O1281" s="55"/>
      <c r="P1281" s="55"/>
      <c r="Q1281" s="55"/>
      <c r="R1281" s="55"/>
      <c r="S1281" s="55"/>
      <c r="T1281" s="55"/>
      <c r="U1281" s="55"/>
      <c r="V1281" s="55"/>
      <c r="W1281" s="55"/>
      <c r="X1281" s="55"/>
      <c r="Y1281" s="55"/>
      <c r="Z1281" s="55"/>
      <c r="AA1281" s="55"/>
      <c r="AB1281" s="55"/>
      <c r="AC1281" s="55"/>
      <c r="AD1281" s="55"/>
      <c r="AE1281" s="55"/>
      <c r="AF1281" s="55"/>
      <c r="AG1281" s="55"/>
      <c r="AH1281" s="55"/>
      <c r="AI1281" s="55"/>
      <c r="AJ1281" s="55"/>
      <c r="AK1281" s="55"/>
      <c r="AL1281" s="55"/>
      <c r="AM1281" s="55"/>
      <c r="AN1281" s="55"/>
      <c r="AO1281" s="55"/>
      <c r="AP1281" s="55"/>
      <c r="AQ1281" s="55"/>
      <c r="AR1281" s="55"/>
      <c r="AS1281" s="55"/>
      <c r="AT1281" s="55"/>
      <c r="AU1281" s="55"/>
    </row>
    <row r="1282" spans="1:47" ht="15.75" customHeight="1">
      <c r="A1282" s="75"/>
      <c r="B1282" s="66"/>
      <c r="C1282" s="73"/>
      <c r="D1282" s="73"/>
      <c r="E1282" s="65"/>
      <c r="F1282" s="75"/>
      <c r="G1282" s="75"/>
      <c r="H1282" s="75"/>
      <c r="I1282" s="75"/>
      <c r="J1282" s="75"/>
      <c r="K1282" s="75"/>
      <c r="L1282" s="55"/>
      <c r="M1282" s="55"/>
      <c r="N1282" s="55"/>
      <c r="O1282" s="55"/>
      <c r="P1282" s="55"/>
      <c r="Q1282" s="55"/>
      <c r="R1282" s="55"/>
      <c r="S1282" s="55"/>
      <c r="T1282" s="55"/>
      <c r="U1282" s="55"/>
      <c r="V1282" s="55"/>
      <c r="W1282" s="55"/>
      <c r="X1282" s="55"/>
      <c r="Y1282" s="55"/>
      <c r="Z1282" s="55"/>
      <c r="AA1282" s="55"/>
      <c r="AB1282" s="55"/>
      <c r="AC1282" s="55"/>
      <c r="AD1282" s="55"/>
      <c r="AE1282" s="55"/>
      <c r="AF1282" s="55"/>
      <c r="AG1282" s="55"/>
      <c r="AH1282" s="55"/>
      <c r="AI1282" s="55"/>
      <c r="AJ1282" s="55"/>
      <c r="AK1282" s="55"/>
      <c r="AL1282" s="55"/>
      <c r="AM1282" s="55"/>
      <c r="AN1282" s="55"/>
      <c r="AO1282" s="55"/>
      <c r="AP1282" s="55"/>
      <c r="AQ1282" s="55"/>
      <c r="AR1282" s="55"/>
      <c r="AS1282" s="55"/>
      <c r="AT1282" s="55"/>
      <c r="AU1282" s="55"/>
    </row>
    <row r="1283" spans="1:47" ht="15.75" customHeight="1">
      <c r="A1283" s="75"/>
      <c r="B1283" s="66"/>
      <c r="C1283" s="73"/>
      <c r="D1283" s="73"/>
      <c r="E1283" s="65"/>
      <c r="F1283" s="75"/>
      <c r="G1283" s="75"/>
      <c r="H1283" s="75"/>
      <c r="I1283" s="75"/>
      <c r="J1283" s="75"/>
      <c r="K1283" s="75"/>
      <c r="L1283" s="55"/>
      <c r="M1283" s="55"/>
      <c r="N1283" s="55"/>
      <c r="O1283" s="55"/>
      <c r="P1283" s="55"/>
      <c r="Q1283" s="55"/>
      <c r="R1283" s="55"/>
      <c r="S1283" s="55"/>
      <c r="T1283" s="55"/>
      <c r="U1283" s="55"/>
      <c r="V1283" s="55"/>
      <c r="W1283" s="55"/>
      <c r="X1283" s="55"/>
      <c r="Y1283" s="55"/>
      <c r="Z1283" s="55"/>
      <c r="AA1283" s="55"/>
      <c r="AB1283" s="55"/>
      <c r="AC1283" s="55"/>
      <c r="AD1283" s="55"/>
      <c r="AE1283" s="55"/>
      <c r="AF1283" s="55"/>
      <c r="AG1283" s="55"/>
      <c r="AH1283" s="55"/>
      <c r="AI1283" s="55"/>
      <c r="AJ1283" s="55"/>
      <c r="AK1283" s="55"/>
      <c r="AL1283" s="55"/>
      <c r="AM1283" s="55"/>
      <c r="AN1283" s="55"/>
      <c r="AO1283" s="55"/>
      <c r="AP1283" s="55"/>
      <c r="AQ1283" s="55"/>
      <c r="AR1283" s="55"/>
      <c r="AS1283" s="55"/>
      <c r="AT1283" s="55"/>
      <c r="AU1283" s="55"/>
    </row>
    <row r="1284" spans="1:47" ht="15.75" customHeight="1">
      <c r="A1284" s="75"/>
      <c r="B1284" s="66"/>
      <c r="C1284" s="73"/>
      <c r="D1284" s="73"/>
      <c r="E1284" s="65"/>
      <c r="F1284" s="75"/>
      <c r="G1284" s="75"/>
      <c r="H1284" s="75"/>
      <c r="I1284" s="75"/>
      <c r="J1284" s="75"/>
      <c r="K1284" s="75"/>
      <c r="L1284" s="55"/>
      <c r="M1284" s="55"/>
      <c r="N1284" s="55"/>
      <c r="O1284" s="55"/>
      <c r="P1284" s="55"/>
      <c r="Q1284" s="55"/>
      <c r="R1284" s="55"/>
      <c r="S1284" s="55"/>
      <c r="T1284" s="55"/>
      <c r="U1284" s="55"/>
      <c r="V1284" s="55"/>
      <c r="W1284" s="55"/>
      <c r="X1284" s="55"/>
      <c r="Y1284" s="55"/>
      <c r="Z1284" s="55"/>
      <c r="AA1284" s="55"/>
      <c r="AB1284" s="55"/>
      <c r="AC1284" s="55"/>
      <c r="AD1284" s="55"/>
      <c r="AE1284" s="55"/>
      <c r="AF1284" s="55"/>
      <c r="AG1284" s="55"/>
      <c r="AH1284" s="55"/>
      <c r="AI1284" s="55"/>
      <c r="AJ1284" s="55"/>
      <c r="AK1284" s="55"/>
      <c r="AL1284" s="55"/>
      <c r="AM1284" s="55"/>
      <c r="AN1284" s="55"/>
      <c r="AO1284" s="55"/>
      <c r="AP1284" s="55"/>
      <c r="AQ1284" s="55"/>
      <c r="AR1284" s="55"/>
      <c r="AS1284" s="55"/>
      <c r="AT1284" s="55"/>
      <c r="AU1284" s="55"/>
    </row>
    <row r="1285" spans="1:47" ht="15.75" customHeight="1">
      <c r="A1285" s="75"/>
      <c r="B1285" s="66"/>
      <c r="C1285" s="73"/>
      <c r="D1285" s="73"/>
      <c r="E1285" s="65"/>
      <c r="F1285" s="75"/>
      <c r="G1285" s="75"/>
      <c r="H1285" s="75"/>
      <c r="I1285" s="75"/>
      <c r="J1285" s="75"/>
      <c r="K1285" s="75"/>
      <c r="L1285" s="55"/>
      <c r="M1285" s="55"/>
      <c r="N1285" s="55"/>
      <c r="O1285" s="55"/>
      <c r="P1285" s="55"/>
      <c r="Q1285" s="55"/>
      <c r="R1285" s="55"/>
      <c r="S1285" s="55"/>
      <c r="T1285" s="55"/>
      <c r="U1285" s="55"/>
      <c r="V1285" s="55"/>
      <c r="W1285" s="55"/>
      <c r="X1285" s="55"/>
      <c r="Y1285" s="55"/>
      <c r="Z1285" s="55"/>
      <c r="AA1285" s="55"/>
      <c r="AB1285" s="55"/>
      <c r="AC1285" s="55"/>
      <c r="AD1285" s="55"/>
      <c r="AE1285" s="55"/>
      <c r="AF1285" s="55"/>
      <c r="AG1285" s="55"/>
      <c r="AH1285" s="55"/>
      <c r="AI1285" s="55"/>
      <c r="AJ1285" s="55"/>
      <c r="AK1285" s="55"/>
      <c r="AL1285" s="55"/>
      <c r="AM1285" s="55"/>
      <c r="AN1285" s="55"/>
      <c r="AO1285" s="55"/>
      <c r="AP1285" s="55"/>
      <c r="AQ1285" s="55"/>
      <c r="AR1285" s="55"/>
      <c r="AS1285" s="55"/>
      <c r="AT1285" s="55"/>
      <c r="AU1285" s="55"/>
    </row>
    <row r="1286" spans="1:47" ht="15.75" customHeight="1">
      <c r="A1286" s="75"/>
      <c r="B1286" s="66"/>
      <c r="C1286" s="73"/>
      <c r="D1286" s="73"/>
      <c r="E1286" s="65"/>
      <c r="F1286" s="75"/>
      <c r="G1286" s="75"/>
      <c r="H1286" s="75"/>
      <c r="I1286" s="75"/>
      <c r="J1286" s="75"/>
      <c r="K1286" s="75"/>
      <c r="L1286" s="55"/>
      <c r="M1286" s="55"/>
      <c r="N1286" s="55"/>
      <c r="O1286" s="55"/>
      <c r="P1286" s="55"/>
      <c r="Q1286" s="55"/>
      <c r="R1286" s="55"/>
      <c r="S1286" s="55"/>
      <c r="T1286" s="55"/>
      <c r="U1286" s="55"/>
      <c r="V1286" s="55"/>
      <c r="W1286" s="55"/>
      <c r="X1286" s="55"/>
      <c r="Y1286" s="55"/>
      <c r="Z1286" s="55"/>
      <c r="AA1286" s="55"/>
      <c r="AB1286" s="55"/>
      <c r="AC1286" s="55"/>
      <c r="AD1286" s="55"/>
      <c r="AE1286" s="55"/>
      <c r="AF1286" s="55"/>
      <c r="AG1286" s="55"/>
      <c r="AH1286" s="55"/>
      <c r="AI1286" s="55"/>
      <c r="AJ1286" s="55"/>
      <c r="AK1286" s="55"/>
      <c r="AL1286" s="55"/>
      <c r="AM1286" s="55"/>
      <c r="AN1286" s="55"/>
      <c r="AO1286" s="55"/>
      <c r="AP1286" s="55"/>
      <c r="AQ1286" s="55"/>
      <c r="AR1286" s="55"/>
      <c r="AS1286" s="55"/>
      <c r="AT1286" s="55"/>
      <c r="AU1286" s="55"/>
    </row>
    <row r="1287" spans="1:47" ht="15.75" customHeight="1">
      <c r="A1287" s="75"/>
      <c r="B1287" s="66"/>
      <c r="C1287" s="73"/>
      <c r="D1287" s="73"/>
      <c r="E1287" s="65"/>
      <c r="F1287" s="75"/>
      <c r="G1287" s="75"/>
      <c r="H1287" s="75"/>
      <c r="I1287" s="75"/>
      <c r="J1287" s="75"/>
      <c r="K1287" s="75"/>
      <c r="L1287" s="55"/>
      <c r="M1287" s="55"/>
      <c r="N1287" s="55"/>
      <c r="O1287" s="55"/>
      <c r="P1287" s="55"/>
      <c r="Q1287" s="55"/>
      <c r="R1287" s="55"/>
      <c r="S1287" s="55"/>
      <c r="T1287" s="55"/>
      <c r="U1287" s="55"/>
      <c r="V1287" s="55"/>
      <c r="W1287" s="55"/>
      <c r="X1287" s="55"/>
      <c r="Y1287" s="55"/>
      <c r="Z1287" s="55"/>
      <c r="AA1287" s="55"/>
      <c r="AB1287" s="55"/>
      <c r="AC1287" s="55"/>
      <c r="AD1287" s="55"/>
      <c r="AE1287" s="55"/>
      <c r="AF1287" s="55"/>
      <c r="AG1287" s="55"/>
      <c r="AH1287" s="55"/>
      <c r="AI1287" s="55"/>
      <c r="AJ1287" s="55"/>
      <c r="AK1287" s="55"/>
      <c r="AL1287" s="55"/>
      <c r="AM1287" s="55"/>
      <c r="AN1287" s="55"/>
      <c r="AO1287" s="55"/>
      <c r="AP1287" s="55"/>
      <c r="AQ1287" s="55"/>
      <c r="AR1287" s="55"/>
      <c r="AS1287" s="55"/>
      <c r="AT1287" s="55"/>
      <c r="AU1287" s="55"/>
    </row>
    <row r="1288" spans="1:47" ht="15.75" customHeight="1">
      <c r="A1288" s="75"/>
      <c r="B1288" s="66"/>
      <c r="C1288" s="73"/>
      <c r="D1288" s="73"/>
      <c r="E1288" s="65"/>
      <c r="F1288" s="75"/>
      <c r="G1288" s="75"/>
      <c r="H1288" s="75"/>
      <c r="I1288" s="75"/>
      <c r="J1288" s="75"/>
      <c r="K1288" s="75"/>
      <c r="L1288" s="55"/>
      <c r="M1288" s="55"/>
      <c r="N1288" s="55"/>
      <c r="O1288" s="55"/>
      <c r="P1288" s="55"/>
      <c r="Q1288" s="55"/>
      <c r="R1288" s="55"/>
      <c r="S1288" s="55"/>
      <c r="T1288" s="55"/>
      <c r="U1288" s="55"/>
      <c r="V1288" s="55"/>
      <c r="W1288" s="55"/>
      <c r="X1288" s="55"/>
      <c r="Y1288" s="55"/>
      <c r="Z1288" s="55"/>
      <c r="AA1288" s="55"/>
      <c r="AB1288" s="55"/>
      <c r="AC1288" s="55"/>
      <c r="AD1288" s="55"/>
      <c r="AE1288" s="55"/>
      <c r="AF1288" s="55"/>
      <c r="AG1288" s="55"/>
      <c r="AH1288" s="55"/>
      <c r="AI1288" s="55"/>
      <c r="AJ1288" s="55"/>
      <c r="AK1288" s="55"/>
      <c r="AL1288" s="55"/>
      <c r="AM1288" s="55"/>
      <c r="AN1288" s="55"/>
      <c r="AO1288" s="55"/>
      <c r="AP1288" s="55"/>
      <c r="AQ1288" s="55"/>
      <c r="AR1288" s="55"/>
      <c r="AS1288" s="55"/>
      <c r="AT1288" s="55"/>
      <c r="AU1288" s="55"/>
    </row>
    <row r="1289" spans="1:47" ht="15.75" customHeight="1">
      <c r="A1289" s="75"/>
      <c r="B1289" s="66"/>
      <c r="C1289" s="73"/>
      <c r="D1289" s="73"/>
      <c r="E1289" s="65"/>
      <c r="F1289" s="75"/>
      <c r="G1289" s="75"/>
      <c r="H1289" s="75"/>
      <c r="I1289" s="75"/>
      <c r="J1289" s="75"/>
      <c r="K1289" s="75"/>
      <c r="L1289" s="55"/>
      <c r="M1289" s="55"/>
      <c r="N1289" s="55"/>
      <c r="O1289" s="55"/>
      <c r="P1289" s="55"/>
      <c r="Q1289" s="55"/>
      <c r="R1289" s="55"/>
      <c r="S1289" s="55"/>
      <c r="T1289" s="55"/>
      <c r="U1289" s="55"/>
      <c r="V1289" s="55"/>
      <c r="W1289" s="55"/>
      <c r="X1289" s="55"/>
      <c r="Y1289" s="55"/>
      <c r="Z1289" s="55"/>
      <c r="AA1289" s="55"/>
      <c r="AB1289" s="55"/>
      <c r="AC1289" s="55"/>
      <c r="AD1289" s="55"/>
      <c r="AE1289" s="55"/>
      <c r="AF1289" s="55"/>
      <c r="AG1289" s="55"/>
      <c r="AH1289" s="55"/>
      <c r="AI1289" s="55"/>
      <c r="AJ1289" s="55"/>
      <c r="AK1289" s="55"/>
      <c r="AL1289" s="55"/>
      <c r="AM1289" s="55"/>
      <c r="AN1289" s="55"/>
      <c r="AO1289" s="55"/>
      <c r="AP1289" s="55"/>
      <c r="AQ1289" s="55"/>
      <c r="AR1289" s="55"/>
      <c r="AS1289" s="55"/>
      <c r="AT1289" s="55"/>
      <c r="AU1289" s="55"/>
    </row>
    <row r="1290" spans="1:47" ht="15.75" customHeight="1">
      <c r="A1290" s="75"/>
      <c r="B1290" s="66"/>
      <c r="C1290" s="73"/>
      <c r="D1290" s="73"/>
      <c r="E1290" s="65"/>
      <c r="F1290" s="75"/>
      <c r="G1290" s="75"/>
      <c r="H1290" s="75"/>
      <c r="I1290" s="75"/>
      <c r="J1290" s="75"/>
      <c r="K1290" s="75"/>
      <c r="L1290" s="55"/>
      <c r="M1290" s="55"/>
      <c r="N1290" s="55"/>
      <c r="O1290" s="55"/>
      <c r="P1290" s="55"/>
      <c r="Q1290" s="55"/>
      <c r="R1290" s="55"/>
      <c r="S1290" s="55"/>
      <c r="T1290" s="55"/>
      <c r="U1290" s="55"/>
      <c r="V1290" s="55"/>
      <c r="W1290" s="55"/>
      <c r="X1290" s="55"/>
      <c r="Y1290" s="55"/>
      <c r="Z1290" s="55"/>
      <c r="AA1290" s="55"/>
      <c r="AB1290" s="55"/>
      <c r="AC1290" s="55"/>
      <c r="AD1290" s="55"/>
      <c r="AE1290" s="55"/>
      <c r="AF1290" s="55"/>
      <c r="AG1290" s="55"/>
      <c r="AH1290" s="55"/>
      <c r="AI1290" s="55"/>
      <c r="AJ1290" s="55"/>
      <c r="AK1290" s="55"/>
      <c r="AL1290" s="55"/>
      <c r="AM1290" s="55"/>
      <c r="AN1290" s="55"/>
      <c r="AO1290" s="55"/>
      <c r="AP1290" s="55"/>
      <c r="AQ1290" s="55"/>
      <c r="AR1290" s="55"/>
      <c r="AS1290" s="55"/>
      <c r="AT1290" s="55"/>
      <c r="AU1290" s="55"/>
    </row>
    <row r="1291" spans="1:47" ht="15.75" customHeight="1">
      <c r="A1291" s="75"/>
      <c r="B1291" s="66"/>
      <c r="C1291" s="73"/>
      <c r="D1291" s="73"/>
      <c r="E1291" s="65"/>
      <c r="F1291" s="75"/>
      <c r="G1291" s="75"/>
      <c r="H1291" s="75"/>
      <c r="I1291" s="75"/>
      <c r="J1291" s="75"/>
      <c r="K1291" s="75"/>
      <c r="L1291" s="55"/>
      <c r="M1291" s="55"/>
      <c r="N1291" s="55"/>
      <c r="O1291" s="55"/>
      <c r="P1291" s="55"/>
      <c r="Q1291" s="55"/>
      <c r="R1291" s="55"/>
      <c r="S1291" s="55"/>
      <c r="T1291" s="55"/>
      <c r="U1291" s="55"/>
      <c r="V1291" s="55"/>
      <c r="W1291" s="55"/>
      <c r="X1291" s="55"/>
      <c r="Y1291" s="55"/>
      <c r="Z1291" s="55"/>
      <c r="AA1291" s="55"/>
      <c r="AB1291" s="55"/>
      <c r="AC1291" s="55"/>
      <c r="AD1291" s="55"/>
      <c r="AE1291" s="55"/>
      <c r="AF1291" s="55"/>
      <c r="AG1291" s="55"/>
      <c r="AH1291" s="55"/>
      <c r="AI1291" s="55"/>
      <c r="AJ1291" s="55"/>
      <c r="AK1291" s="55"/>
      <c r="AL1291" s="55"/>
      <c r="AM1291" s="55"/>
      <c r="AN1291" s="55"/>
      <c r="AO1291" s="55"/>
      <c r="AP1291" s="55"/>
      <c r="AQ1291" s="55"/>
      <c r="AR1291" s="55"/>
      <c r="AS1291" s="55"/>
      <c r="AT1291" s="55"/>
      <c r="AU1291" s="55"/>
    </row>
    <row r="1292" spans="1:47" ht="15.75" customHeight="1">
      <c r="A1292" s="75"/>
      <c r="B1292" s="66"/>
      <c r="C1292" s="73"/>
      <c r="D1292" s="73"/>
      <c r="E1292" s="65"/>
      <c r="F1292" s="75"/>
      <c r="G1292" s="75"/>
      <c r="H1292" s="75"/>
      <c r="I1292" s="75"/>
      <c r="J1292" s="75"/>
      <c r="K1292" s="75"/>
      <c r="L1292" s="55"/>
      <c r="M1292" s="55"/>
      <c r="N1292" s="55"/>
      <c r="O1292" s="55"/>
      <c r="P1292" s="55"/>
      <c r="Q1292" s="55"/>
      <c r="R1292" s="55"/>
      <c r="S1292" s="55"/>
      <c r="T1292" s="55"/>
      <c r="U1292" s="55"/>
      <c r="V1292" s="55"/>
      <c r="W1292" s="55"/>
      <c r="X1292" s="55"/>
      <c r="Y1292" s="55"/>
      <c r="Z1292" s="55"/>
      <c r="AA1292" s="55"/>
      <c r="AB1292" s="55"/>
      <c r="AC1292" s="55"/>
      <c r="AD1292" s="55"/>
      <c r="AE1292" s="55"/>
      <c r="AF1292" s="55"/>
      <c r="AG1292" s="55"/>
      <c r="AH1292" s="55"/>
      <c r="AI1292" s="55"/>
      <c r="AJ1292" s="55"/>
      <c r="AK1292" s="55"/>
      <c r="AL1292" s="55"/>
      <c r="AM1292" s="55"/>
      <c r="AN1292" s="55"/>
      <c r="AO1292" s="55"/>
      <c r="AP1292" s="55"/>
      <c r="AQ1292" s="55"/>
      <c r="AR1292" s="55"/>
      <c r="AS1292" s="55"/>
      <c r="AT1292" s="55"/>
      <c r="AU1292" s="55"/>
    </row>
    <row r="1293" spans="1:47" ht="15.75" customHeight="1">
      <c r="A1293" s="75"/>
      <c r="B1293" s="66"/>
      <c r="C1293" s="73"/>
      <c r="D1293" s="73"/>
      <c r="E1293" s="65"/>
      <c r="F1293" s="75"/>
      <c r="G1293" s="75"/>
      <c r="H1293" s="75"/>
      <c r="I1293" s="75"/>
      <c r="J1293" s="75"/>
      <c r="K1293" s="75"/>
      <c r="L1293" s="55"/>
      <c r="M1293" s="55"/>
      <c r="N1293" s="55"/>
      <c r="O1293" s="55"/>
      <c r="P1293" s="55"/>
      <c r="Q1293" s="55"/>
      <c r="R1293" s="55"/>
      <c r="S1293" s="55"/>
      <c r="T1293" s="55"/>
      <c r="U1293" s="55"/>
      <c r="V1293" s="55"/>
      <c r="W1293" s="55"/>
      <c r="X1293" s="55"/>
      <c r="Y1293" s="55"/>
      <c r="Z1293" s="55"/>
      <c r="AA1293" s="55"/>
      <c r="AB1293" s="55"/>
      <c r="AC1293" s="55"/>
      <c r="AD1293" s="55"/>
      <c r="AE1293" s="55"/>
      <c r="AF1293" s="55"/>
      <c r="AG1293" s="55"/>
      <c r="AH1293" s="55"/>
      <c r="AI1293" s="55"/>
      <c r="AJ1293" s="55"/>
      <c r="AK1293" s="55"/>
      <c r="AL1293" s="55"/>
      <c r="AM1293" s="55"/>
      <c r="AN1293" s="55"/>
      <c r="AO1293" s="55"/>
      <c r="AP1293" s="55"/>
      <c r="AQ1293" s="55"/>
      <c r="AR1293" s="55"/>
      <c r="AS1293" s="55"/>
      <c r="AT1293" s="55"/>
      <c r="AU1293" s="55"/>
    </row>
    <row r="1294" spans="1:47" ht="15.75" customHeight="1">
      <c r="A1294" s="75"/>
      <c r="B1294" s="66"/>
      <c r="C1294" s="73"/>
      <c r="D1294" s="73"/>
      <c r="E1294" s="65"/>
      <c r="F1294" s="75"/>
      <c r="G1294" s="75"/>
      <c r="H1294" s="75"/>
      <c r="I1294" s="75"/>
      <c r="J1294" s="75"/>
      <c r="K1294" s="75"/>
      <c r="L1294" s="55"/>
      <c r="M1294" s="55"/>
      <c r="N1294" s="55"/>
      <c r="O1294" s="55"/>
      <c r="P1294" s="55"/>
      <c r="Q1294" s="55"/>
      <c r="R1294" s="55"/>
      <c r="S1294" s="55"/>
      <c r="T1294" s="55"/>
      <c r="U1294" s="55"/>
      <c r="V1294" s="55"/>
      <c r="W1294" s="55"/>
      <c r="X1294" s="55"/>
      <c r="Y1294" s="55"/>
      <c r="Z1294" s="55"/>
      <c r="AA1294" s="55"/>
      <c r="AB1294" s="55"/>
      <c r="AC1294" s="55"/>
      <c r="AD1294" s="55"/>
      <c r="AE1294" s="55"/>
      <c r="AF1294" s="55"/>
      <c r="AG1294" s="55"/>
      <c r="AH1294" s="55"/>
      <c r="AI1294" s="55"/>
      <c r="AJ1294" s="55"/>
      <c r="AK1294" s="55"/>
      <c r="AL1294" s="55"/>
      <c r="AM1294" s="55"/>
      <c r="AN1294" s="55"/>
      <c r="AO1294" s="55"/>
      <c r="AP1294" s="55"/>
      <c r="AQ1294" s="55"/>
      <c r="AR1294" s="55"/>
      <c r="AS1294" s="55"/>
      <c r="AT1294" s="55"/>
      <c r="AU1294" s="55"/>
    </row>
    <row r="1295" spans="1:47" ht="15.75" customHeight="1">
      <c r="A1295" s="75"/>
      <c r="B1295" s="66"/>
      <c r="C1295" s="73"/>
      <c r="D1295" s="73"/>
      <c r="E1295" s="65"/>
      <c r="F1295" s="75"/>
      <c r="G1295" s="75"/>
      <c r="H1295" s="75"/>
      <c r="I1295" s="75"/>
      <c r="J1295" s="75"/>
      <c r="K1295" s="75"/>
      <c r="L1295" s="55"/>
      <c r="M1295" s="55"/>
      <c r="N1295" s="55"/>
      <c r="O1295" s="55"/>
      <c r="P1295" s="55"/>
      <c r="Q1295" s="55"/>
      <c r="R1295" s="55"/>
      <c r="S1295" s="55"/>
      <c r="T1295" s="55"/>
      <c r="U1295" s="55"/>
      <c r="V1295" s="55"/>
      <c r="W1295" s="55"/>
      <c r="X1295" s="55"/>
      <c r="Y1295" s="55"/>
      <c r="Z1295" s="55"/>
      <c r="AA1295" s="55"/>
      <c r="AB1295" s="55"/>
      <c r="AC1295" s="55"/>
      <c r="AD1295" s="55"/>
      <c r="AE1295" s="55"/>
      <c r="AF1295" s="55"/>
      <c r="AG1295" s="55"/>
      <c r="AH1295" s="55"/>
      <c r="AI1295" s="55"/>
      <c r="AJ1295" s="55"/>
      <c r="AK1295" s="55"/>
      <c r="AL1295" s="55"/>
      <c r="AM1295" s="55"/>
      <c r="AN1295" s="55"/>
      <c r="AO1295" s="55"/>
      <c r="AP1295" s="55"/>
      <c r="AQ1295" s="55"/>
      <c r="AR1295" s="55"/>
      <c r="AS1295" s="55"/>
      <c r="AT1295" s="55"/>
      <c r="AU1295" s="55"/>
    </row>
    <row r="1296" spans="1:47" ht="15.75" customHeight="1">
      <c r="A1296" s="75"/>
      <c r="B1296" s="66"/>
      <c r="C1296" s="73"/>
      <c r="D1296" s="73"/>
      <c r="E1296" s="65"/>
      <c r="F1296" s="75"/>
      <c r="G1296" s="75"/>
      <c r="H1296" s="75"/>
      <c r="I1296" s="75"/>
      <c r="J1296" s="75"/>
      <c r="K1296" s="75"/>
      <c r="L1296" s="55"/>
      <c r="M1296" s="55"/>
      <c r="N1296" s="55"/>
      <c r="O1296" s="55"/>
      <c r="P1296" s="55"/>
      <c r="Q1296" s="55"/>
      <c r="R1296" s="55"/>
      <c r="S1296" s="55"/>
      <c r="T1296" s="55"/>
      <c r="U1296" s="55"/>
      <c r="V1296" s="55"/>
      <c r="W1296" s="55"/>
      <c r="X1296" s="55"/>
      <c r="Y1296" s="55"/>
      <c r="Z1296" s="55"/>
      <c r="AA1296" s="55"/>
      <c r="AB1296" s="55"/>
      <c r="AC1296" s="55"/>
      <c r="AD1296" s="55"/>
      <c r="AE1296" s="55"/>
      <c r="AF1296" s="55"/>
      <c r="AG1296" s="55"/>
      <c r="AH1296" s="55"/>
      <c r="AI1296" s="55"/>
      <c r="AJ1296" s="55"/>
      <c r="AK1296" s="55"/>
      <c r="AL1296" s="55"/>
      <c r="AM1296" s="55"/>
      <c r="AN1296" s="55"/>
      <c r="AO1296" s="55"/>
      <c r="AP1296" s="55"/>
      <c r="AQ1296" s="55"/>
      <c r="AR1296" s="55"/>
      <c r="AS1296" s="55"/>
      <c r="AT1296" s="55"/>
      <c r="AU1296" s="55"/>
    </row>
    <row r="1297" spans="1:47" ht="15.75" customHeight="1">
      <c r="A1297" s="75"/>
      <c r="B1297" s="66"/>
      <c r="C1297" s="73"/>
      <c r="D1297" s="73"/>
      <c r="E1297" s="65"/>
      <c r="F1297" s="75"/>
      <c r="G1297" s="75"/>
      <c r="H1297" s="75"/>
      <c r="I1297" s="75"/>
      <c r="J1297" s="75"/>
      <c r="K1297" s="75"/>
      <c r="L1297" s="55"/>
      <c r="M1297" s="55"/>
      <c r="N1297" s="55"/>
      <c r="O1297" s="55"/>
      <c r="P1297" s="55"/>
      <c r="Q1297" s="55"/>
      <c r="R1297" s="55"/>
      <c r="S1297" s="55"/>
      <c r="T1297" s="55"/>
      <c r="U1297" s="55"/>
      <c r="V1297" s="55"/>
      <c r="W1297" s="55"/>
      <c r="X1297" s="55"/>
      <c r="Y1297" s="55"/>
      <c r="Z1297" s="55"/>
      <c r="AA1297" s="55"/>
      <c r="AB1297" s="55"/>
      <c r="AC1297" s="55"/>
      <c r="AD1297" s="55"/>
      <c r="AE1297" s="55"/>
      <c r="AF1297" s="55"/>
      <c r="AG1297" s="55"/>
      <c r="AH1297" s="55"/>
      <c r="AI1297" s="55"/>
      <c r="AJ1297" s="55"/>
      <c r="AK1297" s="55"/>
      <c r="AL1297" s="55"/>
      <c r="AM1297" s="55"/>
      <c r="AN1297" s="55"/>
      <c r="AO1297" s="55"/>
      <c r="AP1297" s="55"/>
      <c r="AQ1297" s="55"/>
      <c r="AR1297" s="55"/>
      <c r="AS1297" s="55"/>
      <c r="AT1297" s="55"/>
      <c r="AU1297" s="55"/>
    </row>
    <row r="1298" spans="1:47" ht="15.75" customHeight="1">
      <c r="A1298" s="75"/>
      <c r="B1298" s="66"/>
      <c r="C1298" s="73"/>
      <c r="D1298" s="73"/>
      <c r="E1298" s="65"/>
      <c r="F1298" s="75"/>
      <c r="G1298" s="75"/>
      <c r="H1298" s="75"/>
      <c r="I1298" s="75"/>
      <c r="J1298" s="75"/>
      <c r="K1298" s="75"/>
      <c r="L1298" s="55"/>
      <c r="M1298" s="55"/>
      <c r="N1298" s="55"/>
      <c r="O1298" s="55"/>
      <c r="P1298" s="55"/>
      <c r="Q1298" s="55"/>
      <c r="R1298" s="55"/>
      <c r="S1298" s="55"/>
      <c r="T1298" s="55"/>
      <c r="U1298" s="55"/>
      <c r="V1298" s="55"/>
      <c r="W1298" s="55"/>
      <c r="X1298" s="55"/>
      <c r="Y1298" s="55"/>
      <c r="Z1298" s="55"/>
      <c r="AA1298" s="55"/>
      <c r="AB1298" s="55"/>
      <c r="AC1298" s="55"/>
      <c r="AD1298" s="55"/>
      <c r="AE1298" s="55"/>
      <c r="AF1298" s="55"/>
      <c r="AG1298" s="55"/>
      <c r="AH1298" s="55"/>
      <c r="AI1298" s="55"/>
      <c r="AJ1298" s="55"/>
      <c r="AK1298" s="55"/>
      <c r="AL1298" s="55"/>
      <c r="AM1298" s="55"/>
      <c r="AN1298" s="55"/>
      <c r="AO1298" s="55"/>
      <c r="AP1298" s="55"/>
      <c r="AQ1298" s="55"/>
      <c r="AR1298" s="55"/>
      <c r="AS1298" s="55"/>
      <c r="AT1298" s="55"/>
      <c r="AU1298" s="55"/>
    </row>
    <row r="1299" spans="1:47" ht="15.75" customHeight="1">
      <c r="A1299" s="75"/>
      <c r="B1299" s="66"/>
      <c r="C1299" s="73"/>
      <c r="D1299" s="73"/>
      <c r="E1299" s="65"/>
      <c r="F1299" s="75"/>
      <c r="G1299" s="75"/>
      <c r="H1299" s="75"/>
      <c r="I1299" s="75"/>
      <c r="J1299" s="75"/>
      <c r="K1299" s="75"/>
      <c r="L1299" s="55"/>
      <c r="M1299" s="55"/>
      <c r="N1299" s="55"/>
      <c r="O1299" s="55"/>
      <c r="P1299" s="55"/>
      <c r="Q1299" s="55"/>
      <c r="R1299" s="55"/>
      <c r="S1299" s="55"/>
      <c r="T1299" s="55"/>
      <c r="U1299" s="55"/>
      <c r="V1299" s="55"/>
      <c r="W1299" s="55"/>
      <c r="X1299" s="55"/>
      <c r="Y1299" s="55"/>
      <c r="Z1299" s="55"/>
      <c r="AA1299" s="55"/>
      <c r="AB1299" s="55"/>
      <c r="AC1299" s="55"/>
      <c r="AD1299" s="55"/>
      <c r="AE1299" s="55"/>
      <c r="AF1299" s="55"/>
      <c r="AG1299" s="55"/>
      <c r="AH1299" s="55"/>
      <c r="AI1299" s="55"/>
      <c r="AJ1299" s="55"/>
      <c r="AK1299" s="55"/>
      <c r="AL1299" s="55"/>
      <c r="AM1299" s="55"/>
      <c r="AN1299" s="55"/>
      <c r="AO1299" s="55"/>
      <c r="AP1299" s="55"/>
      <c r="AQ1299" s="55"/>
      <c r="AR1299" s="55"/>
      <c r="AS1299" s="55"/>
      <c r="AT1299" s="55"/>
      <c r="AU1299" s="55"/>
    </row>
    <row r="1300" spans="1:47" ht="15.75" customHeight="1">
      <c r="A1300" s="75"/>
      <c r="B1300" s="66"/>
      <c r="C1300" s="73"/>
      <c r="D1300" s="73"/>
      <c r="E1300" s="65"/>
      <c r="F1300" s="75"/>
      <c r="G1300" s="75"/>
      <c r="H1300" s="75"/>
      <c r="I1300" s="75"/>
      <c r="J1300" s="75"/>
      <c r="K1300" s="75"/>
      <c r="L1300" s="55"/>
      <c r="M1300" s="55"/>
      <c r="N1300" s="55"/>
      <c r="O1300" s="55"/>
      <c r="P1300" s="55"/>
      <c r="Q1300" s="55"/>
      <c r="R1300" s="55"/>
      <c r="S1300" s="55"/>
      <c r="T1300" s="55"/>
      <c r="U1300" s="55"/>
      <c r="V1300" s="55"/>
      <c r="W1300" s="55"/>
      <c r="X1300" s="55"/>
      <c r="Y1300" s="55"/>
      <c r="Z1300" s="55"/>
      <c r="AA1300" s="55"/>
      <c r="AB1300" s="55"/>
      <c r="AC1300" s="55"/>
      <c r="AD1300" s="55"/>
      <c r="AE1300" s="55"/>
      <c r="AF1300" s="55"/>
      <c r="AG1300" s="55"/>
      <c r="AH1300" s="55"/>
      <c r="AI1300" s="55"/>
      <c r="AJ1300" s="55"/>
      <c r="AK1300" s="55"/>
      <c r="AL1300" s="55"/>
      <c r="AM1300" s="55"/>
      <c r="AN1300" s="55"/>
      <c r="AO1300" s="55"/>
      <c r="AP1300" s="55"/>
      <c r="AQ1300" s="55"/>
      <c r="AR1300" s="55"/>
      <c r="AS1300" s="55"/>
      <c r="AT1300" s="55"/>
      <c r="AU1300" s="55"/>
    </row>
  </sheetData>
  <customSheetViews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A2:K798" xr:uid="{12842B48-9FC5-4CE3-93B8-BADC32CBEFB2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Controle Contas</vt:lpstr>
      <vt:lpstr>Dados</vt:lpstr>
      <vt:lpstr>BTG2</vt:lpstr>
      <vt:lpstr>Cadastro de assessores</vt:lpstr>
      <vt:lpstr>Saídas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11</dc:creator>
  <cp:lastModifiedBy>Alocação I M Wealth</cp:lastModifiedBy>
  <dcterms:created xsi:type="dcterms:W3CDTF">2026-01-29T13:07:14Z</dcterms:created>
  <dcterms:modified xsi:type="dcterms:W3CDTF">2026-06-30T13:51:45Z</dcterms:modified>
</cp:coreProperties>
</file>